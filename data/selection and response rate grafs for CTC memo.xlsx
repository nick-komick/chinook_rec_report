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I:\Analysis\Response rates\"/>
    </mc:Choice>
  </mc:AlternateContent>
  <xr:revisionPtr revIDLastSave="0" documentId="8_{503B627E-D9E6-43AC-A6D2-80CB92598EA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Graphs" sheetId="16" r:id="rId1"/>
    <sheet name="invitees" sheetId="3" r:id="rId2"/>
    <sheet name="total responses" sheetId="13" r:id="rId3"/>
  </sheets>
  <definedNames>
    <definedName name="_xlnm._FilterDatabase" localSheetId="2" hidden="1">'total responses'!$A$1:$O$14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3" l="1"/>
  <c r="F5" i="3" l="1"/>
  <c r="F4" i="3"/>
</calcChain>
</file>

<file path=xl/sharedStrings.xml><?xml version="1.0" encoding="utf-8"?>
<sst xmlns="http://schemas.openxmlformats.org/spreadsheetml/2006/main" count="53" uniqueCount="39">
  <si>
    <t>month</t>
  </si>
  <si>
    <t>May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</si>
  <si>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</si>
  <si>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</si>
  <si>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</si>
  <si>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</si>
  <si>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</si>
  <si>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</si>
  <si>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</si>
  <si>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</si>
  <si>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</si>
  <si>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</si>
  <si>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</si>
  <si>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2013/14</t>
  </si>
  <si>
    <t>2014/15</t>
  </si>
  <si>
    <t>2015/16</t>
  </si>
  <si>
    <t>2012/13</t>
  </si>
  <si>
    <t>2016/17</t>
  </si>
  <si>
    <t>2017/18</t>
  </si>
  <si>
    <t>2018/19</t>
  </si>
  <si>
    <t>2019/20</t>
  </si>
  <si>
    <t>2020/21</t>
  </si>
  <si>
    <t>2021/22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</si>
  <si>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</si>
  <si>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</si>
  <si>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</si>
  <si>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</si>
  <si>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</si>
  <si>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</si>
  <si>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</si>
  <si>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</si>
  <si>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</si>
  <si>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</si>
  <si>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</si>
  <si>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2022/23</t>
  </si>
  <si>
    <t>2023/24</t>
  </si>
  <si>
    <t>2024/25</t>
  </si>
  <si>
    <t>total complete responses</t>
  </si>
  <si>
    <t>2025/26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</si>
</sst>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" fontId="0" fillId="0" borderId="0" xfId="0" applyNumberFormat="1" applyBorder="1"/>
    <xf numFmtId="1" fontId="0" fillId="0" borderId="0" xfId="0" applyNumberFormat="1"/>
    <xf numFmtId="1" fontId="0" fillId="0" borderId="0" xfId="0" applyNumberFormat="1" applyFill="1" applyBorder="1"/>
    <xf numFmtId="0" fontId="0" fillId="0" borderId="0" xfId="0" applyFill="1" applyBorder="1"/>
    <xf numFmtId="164" fontId="0" fillId="0" borderId="0" xfId="1" applyNumberFormat="1" applyFont="1"/>
    <xf numFmtId="0" fontId="0" fillId="0" borderId="1" xfId="0" applyFont="1" applyBorder="1"/>
    <xf numFmtId="0" fontId="0" fillId="3" borderId="1" xfId="0" applyFill="1" applyBorder="1"/>
    <xf numFmtId="9" fontId="0" fillId="0" borderId="0" xfId="1" applyFont="1"/>
    <xf numFmtId="0" fontId="0" fillId="0" borderId="0" xfId="0" applyAlignment="1">
      <alignment wrapText="1"/>
    </xf>
    <xf numFmtId="0" fontId="0" fillId="2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en-US" sz="2000"/>
              <a:t>Licence</a:t>
            </a:r>
            <a:r>
              <a:rPr lang="en-US" sz="2000" baseline="0"/>
              <a:t> selections by month across years</a:t>
            </a:r>
            <a:endParaRPr lang="en-US" sz="2000"/>
          </a:p>
        </c:rich>
      </c:tx>
      <c:overlay val="0"/>
      <c:spPr>
        <a:noFill/>
      </c:spPr>
    </c:title>
    <c:autoTitleDeleted val="0"/>
    <c:plotArea>
      <c:layout>
        <c:manualLayout>
          <c:layoutTarget val="inner"/>
          <c:xMode val="edge"/>
          <c:yMode val="edge"/>
          <c:x val="0.11689682156349572"/>
          <c:y val="0.1211089619600258"/>
          <c:w val="0.73421111947311868"/>
          <c:h val="0.71525040994633893"/>
        </c:manualLayout>
      </c:layout>
      <c:lineChart>
        <c:grouping val="standard"/>
        <c:varyColors val="0"/>
        <c:ser>
          <c:idx val="2"/>
          <c:order val="0"/>
          <c:tx>
            <c:strRef>
              <c:f>invitees!$B$1</c:f>
              <c:strCache>
                <c:ptCount val="1"/>
                <c:pt idx="0">
                  <c:v>2012/13</c:v>
                </c:pt>
              </c:strCache>
            </c:strRef>
          </c:tx>
          <c:cat>
            <c:strRef>
              <c:f>invitees!$A$2:$A$13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invitees!$B$2:$B$13</c:f>
              <c:numCache>
                <c:formatCode>General</c:formatCode>
                <c:ptCount val="12"/>
                <c:pt idx="3">
                  <c:v>3067</c:v>
                </c:pt>
                <c:pt idx="4">
                  <c:v>5689</c:v>
                </c:pt>
                <c:pt idx="5">
                  <c:v>3190</c:v>
                </c:pt>
                <c:pt idx="6">
                  <c:v>2388</c:v>
                </c:pt>
                <c:pt idx="7">
                  <c:v>2100</c:v>
                </c:pt>
                <c:pt idx="8">
                  <c:v>2065</c:v>
                </c:pt>
                <c:pt idx="9">
                  <c:v>2053</c:v>
                </c:pt>
                <c:pt idx="10">
                  <c:v>2098</c:v>
                </c:pt>
                <c:pt idx="11">
                  <c:v>2328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EB-431C-B9EB-4B01507FF038}"/>
            </c:ext>
          </c:extLst>
        </c:ser>
        <c:ser>
          <c:idx val="0"/>
          <c:order val="1"/>
          <c:tx>
            <c:strRef>
              <c:f>invitees!$C$1</c:f>
              <c:strCache>
                <c:ptCount val="1"/>
                <c:pt idx="0">
                  <c:v>2013/14</c:v>
                </c:pt>
              </c:strCache>
            </c:strRef>
          </c:tx>
          <c:cat>
            <c:strRef>
              <c:f>invitees!$A$2:$A$13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invitees!$C$2:$C$13</c:f>
              <c:numCache>
                <c:formatCode>General</c:formatCode>
                <c:ptCount val="12"/>
                <c:pt idx="0">
                  <c:v>3328</c:v>
                </c:pt>
                <c:pt idx="1">
                  <c:v>5506</c:v>
                </c:pt>
                <c:pt idx="2">
                  <c:v>5279</c:v>
                </c:pt>
                <c:pt idx="3">
                  <c:v>7926</c:v>
                </c:pt>
                <c:pt idx="4">
                  <c:v>8354</c:v>
                </c:pt>
                <c:pt idx="5">
                  <c:v>5493</c:v>
                </c:pt>
                <c:pt idx="6">
                  <c:v>4485</c:v>
                </c:pt>
                <c:pt idx="7">
                  <c:v>3137</c:v>
                </c:pt>
                <c:pt idx="8">
                  <c:v>3104</c:v>
                </c:pt>
                <c:pt idx="9">
                  <c:v>3088</c:v>
                </c:pt>
                <c:pt idx="10">
                  <c:v>3111</c:v>
                </c:pt>
                <c:pt idx="11">
                  <c:v>3254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EB-431C-B9EB-4B01507FF038}"/>
            </c:ext>
          </c:extLst>
        </c:ser>
        <c:ser>
          <c:idx val="1"/>
          <c:order val="2"/>
          <c:tx>
            <c:strRef>
              <c:f>invitees!$D$1</c:f>
              <c:strCache>
                <c:ptCount val="1"/>
                <c:pt idx="0">
                  <c:v>2014/15</c:v>
                </c:pt>
              </c:strCache>
            </c:strRef>
          </c:tx>
          <c:cat>
            <c:strRef>
              <c:f>invitees!$A$2:$A$13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invitees!$D$2:$D$13</c:f>
              <c:numCache>
                <c:formatCode>General</c:formatCode>
                <c:ptCount val="12"/>
                <c:pt idx="0">
                  <c:v>3611</c:v>
                </c:pt>
                <c:pt idx="1">
                  <c:v>4616</c:v>
                </c:pt>
                <c:pt idx="2">
                  <c:v>8498</c:v>
                </c:pt>
                <c:pt idx="3">
                  <c:v>14768</c:v>
                </c:pt>
                <c:pt idx="4">
                  <c:v>16928</c:v>
                </c:pt>
                <c:pt idx="5">
                  <c:v>6612</c:v>
                </c:pt>
                <c:pt idx="6">
                  <c:v>4949</c:v>
                </c:pt>
                <c:pt idx="7">
                  <c:v>4264</c:v>
                </c:pt>
                <c:pt idx="8">
                  <c:v>4198</c:v>
                </c:pt>
                <c:pt idx="9">
                  <c:v>8156</c:v>
                </c:pt>
                <c:pt idx="10">
                  <c:v>8385</c:v>
                </c:pt>
                <c:pt idx="11">
                  <c:v>8699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EB-431C-B9EB-4B01507FF038}"/>
            </c:ext>
          </c:extLst>
        </c:ser>
        <c:ser>
          <c:idx val="3"/>
          <c:order val="3"/>
          <c:tx>
            <c:strRef>
              <c:f>invitees!$E$1</c:f>
              <c:strCache>
                <c:ptCount val="1"/>
                <c:pt idx="0">
                  <c:v>2015/16</c:v>
                </c:pt>
              </c:strCache>
            </c:strRef>
          </c:tx>
          <c:cat>
            <c:strRef>
              <c:f>invitees!$A$2:$A$13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invitees!$E$2:$E$13</c:f>
              <c:numCache>
                <c:formatCode>General</c:formatCode>
                <c:ptCount val="12"/>
                <c:pt idx="0">
                  <c:v>5659</c:v>
                </c:pt>
                <c:pt idx="1">
                  <c:v>9468</c:v>
                </c:pt>
                <c:pt idx="2">
                  <c:v>10182</c:v>
                </c:pt>
                <c:pt idx="3">
                  <c:v>15437</c:v>
                </c:pt>
                <c:pt idx="4">
                  <c:v>12574</c:v>
                </c:pt>
                <c:pt idx="5">
                  <c:v>6992</c:v>
                </c:pt>
                <c:pt idx="6">
                  <c:v>6946</c:v>
                </c:pt>
                <c:pt idx="7">
                  <c:v>6194</c:v>
                </c:pt>
                <c:pt idx="8">
                  <c:v>6178</c:v>
                </c:pt>
                <c:pt idx="9" formatCode="0">
                  <c:v>6159</c:v>
                </c:pt>
                <c:pt idx="10" formatCode="0">
                  <c:v>6353</c:v>
                </c:pt>
                <c:pt idx="11" formatCode="0">
                  <c:v>6796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4EB-431C-B9EB-4B01507FF038}"/>
            </c:ext>
          </c:extLst>
        </c:ser>
        <c:ser>
          <c:idx val="4"/>
          <c:order val="4"/>
          <c:tx>
            <c:strRef>
              <c:f>invitees!$F$1</c:f>
              <c:strCache>
                <c:ptCount val="1"/>
                <c:pt idx="0">
                  <c:v>2016/17</c:v>
                </c:pt>
              </c:strCache>
            </c:strRef>
          </c:tx>
          <c:cat>
            <c:strRef>
              <c:f>invitees!$A$2:$A$13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invitees!$F$2:$F$13</c:f>
              <c:numCache>
                <c:formatCode>0</c:formatCode>
                <c:ptCount val="12"/>
                <c:pt idx="0">
                  <c:v>4840</c:v>
                </c:pt>
                <c:pt idx="1">
                  <c:v>9295</c:v>
                </c:pt>
                <c:pt idx="2">
                  <c:v>10317</c:v>
                </c:pt>
                <c:pt idx="3">
                  <c:v>15911</c:v>
                </c:pt>
                <c:pt idx="4">
                  <c:v>15822</c:v>
                </c:pt>
                <c:pt idx="5">
                  <c:v>9331</c:v>
                </c:pt>
                <c:pt idx="6">
                  <c:v>6845</c:v>
                </c:pt>
                <c:pt idx="7">
                  <c:v>6290</c:v>
                </c:pt>
                <c:pt idx="8">
                  <c:v>6175</c:v>
                </c:pt>
                <c:pt idx="9" formatCode="General">
                  <c:v>6154</c:v>
                </c:pt>
                <c:pt idx="10" formatCode="General">
                  <c:v>6250</c:v>
                </c:pt>
                <c:pt idx="11" formatCode="General">
                  <c:v>6450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4EB-431C-B9EB-4B01507FF038}"/>
            </c:ext>
          </c:extLst>
        </c:ser>
        <c:ser>
          <c:idx val="5"/>
          <c:order val="5"/>
          <c:tx>
            <c:strRef>
              <c:f>invitees!$G$1</c:f>
              <c:strCache>
                <c:ptCount val="1"/>
                <c:pt idx="0">
                  <c:v>2017/18</c:v>
                </c:pt>
              </c:strCache>
            </c:strRef>
          </c:tx>
          <c:cat>
            <c:strRef>
              <c:f>invitees!$A$2:$A$13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invitees!$G$2:$G$13</c:f>
              <c:numCache>
                <c:formatCode>General</c:formatCode>
                <c:ptCount val="12"/>
                <c:pt idx="0">
                  <c:v>4614</c:v>
                </c:pt>
                <c:pt idx="1">
                  <c:v>9939</c:v>
                </c:pt>
                <c:pt idx="2">
                  <c:v>10618</c:v>
                </c:pt>
                <c:pt idx="3">
                  <c:v>16023</c:v>
                </c:pt>
                <c:pt idx="4">
                  <c:v>16651</c:v>
                </c:pt>
                <c:pt idx="5">
                  <c:v>9818</c:v>
                </c:pt>
                <c:pt idx="6">
                  <c:v>7024</c:v>
                </c:pt>
                <c:pt idx="7">
                  <c:v>6197</c:v>
                </c:pt>
                <c:pt idx="8">
                  <c:v>6186</c:v>
                </c:pt>
                <c:pt idx="9">
                  <c:v>6121</c:v>
                </c:pt>
                <c:pt idx="10">
                  <c:v>6200</c:v>
                </c:pt>
                <c:pt idx="11">
                  <c:v>6630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4EB-431C-B9EB-4B01507FF038}"/>
            </c:ext>
          </c:extLst>
        </c:ser>
        <c:ser>
          <c:idx val="6"/>
          <c:order val="6"/>
          <c:tx>
            <c:strRef>
              <c:f>invitees!$H$1</c:f>
              <c:strCache>
                <c:ptCount val="1"/>
                <c:pt idx="0">
                  <c:v>2018/19</c:v>
                </c:pt>
              </c:strCache>
            </c:strRef>
          </c:tx>
          <c:cat>
            <c:strRef>
              <c:f>invitees!$A$2:$A$13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invitees!$H$2:$H$13</c:f>
              <c:numCache>
                <c:formatCode>General</c:formatCode>
                <c:ptCount val="12"/>
                <c:pt idx="0">
                  <c:v>6860</c:v>
                </c:pt>
                <c:pt idx="1">
                  <c:v>11009</c:v>
                </c:pt>
                <c:pt idx="2">
                  <c:v>14536</c:v>
                </c:pt>
                <c:pt idx="3">
                  <c:v>19241</c:v>
                </c:pt>
                <c:pt idx="4">
                  <c:v>22744</c:v>
                </c:pt>
                <c:pt idx="5">
                  <c:v>13695</c:v>
                </c:pt>
                <c:pt idx="6">
                  <c:v>9838</c:v>
                </c:pt>
                <c:pt idx="7">
                  <c:v>9376</c:v>
                </c:pt>
                <c:pt idx="8">
                  <c:v>9175</c:v>
                </c:pt>
                <c:pt idx="9">
                  <c:v>9102</c:v>
                </c:pt>
                <c:pt idx="10">
                  <c:v>9224</c:v>
                </c:pt>
                <c:pt idx="11">
                  <c:v>9924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4EB-431C-B9EB-4B01507FF038}"/>
            </c:ext>
          </c:extLst>
        </c:ser>
        <c:ser>
          <c:idx val="7"/>
          <c:order val="7"/>
          <c:tx>
            <c:strRef>
              <c:f>invitees!$I$1</c:f>
              <c:strCache>
                <c:ptCount val="1"/>
                <c:pt idx="0">
                  <c:v>2019/20</c:v>
                </c:pt>
              </c:strCache>
            </c:strRef>
          </c:tx>
          <c:cat>
            <c:strRef>
              <c:f>invitees!$A$2:$A$13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invitees!$I$2:$I$13</c:f>
              <c:numCache>
                <c:formatCode>General</c:formatCode>
                <c:ptCount val="12"/>
                <c:pt idx="0">
                  <c:v>6565</c:v>
                </c:pt>
                <c:pt idx="1">
                  <c:v>9568</c:v>
                </c:pt>
                <c:pt idx="2">
                  <c:v>12717</c:v>
                </c:pt>
                <c:pt idx="3">
                  <c:v>17272</c:v>
                </c:pt>
                <c:pt idx="4">
                  <c:v>22248</c:v>
                </c:pt>
                <c:pt idx="5">
                  <c:v>13259</c:v>
                </c:pt>
                <c:pt idx="6">
                  <c:v>9290</c:v>
                </c:pt>
                <c:pt idx="7">
                  <c:v>8775</c:v>
                </c:pt>
                <c:pt idx="8">
                  <c:v>8745</c:v>
                </c:pt>
                <c:pt idx="9">
                  <c:v>8898</c:v>
                </c:pt>
                <c:pt idx="10">
                  <c:v>8726</c:v>
                </c:pt>
                <c:pt idx="11">
                  <c:v>9266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4EB-431C-B9EB-4B01507FF038}"/>
            </c:ext>
          </c:extLst>
        </c:ser>
        <c:ser>
          <c:idx val="8"/>
          <c:order val="8"/>
          <c:tx>
            <c:strRef>
              <c:f>invitees!$J$1</c:f>
              <c:strCache>
                <c:ptCount val="1"/>
                <c:pt idx="0">
                  <c:v>2020/21</c:v>
                </c:pt>
              </c:strCache>
            </c:strRef>
          </c:tx>
          <c:spPr>
            <a:ln w="25400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cat>
            <c:strRef>
              <c:f>invitees!$A$2:$A$13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invitees!$J$2:$J$13</c:f>
              <c:numCache>
                <c:formatCode>General</c:formatCode>
                <c:ptCount val="12"/>
                <c:pt idx="0">
                  <c:v>7986</c:v>
                </c:pt>
                <c:pt idx="1">
                  <c:v>18967</c:v>
                </c:pt>
                <c:pt idx="2">
                  <c:v>28927</c:v>
                </c:pt>
                <c:pt idx="3">
                  <c:v>27059</c:v>
                </c:pt>
                <c:pt idx="4">
                  <c:v>39152</c:v>
                </c:pt>
                <c:pt idx="5">
                  <c:v>26137</c:v>
                </c:pt>
                <c:pt idx="6">
                  <c:v>14573</c:v>
                </c:pt>
                <c:pt idx="7">
                  <c:v>10945</c:v>
                </c:pt>
                <c:pt idx="8">
                  <c:v>10589</c:v>
                </c:pt>
                <c:pt idx="9">
                  <c:v>10443</c:v>
                </c:pt>
                <c:pt idx="10">
                  <c:v>10726</c:v>
                </c:pt>
                <c:pt idx="11">
                  <c:v>12256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4EB-431C-B9EB-4B01507FF038}"/>
            </c:ext>
          </c:extLst>
        </c:ser>
        <c:ser>
          <c:idx val="9"/>
          <c:order val="9"/>
          <c:tx>
            <c:strRef>
              <c:f>invitees!$K$1</c:f>
              <c:strCache>
                <c:ptCount val="1"/>
                <c:pt idx="0">
                  <c:v>2021/22</c:v>
                </c:pt>
              </c:strCache>
            </c:strRef>
          </c:tx>
          <c:spPr>
            <a:ln w="25400">
              <a:solidFill>
                <a:schemeClr val="bg1">
                  <a:lumMod val="50000"/>
                </a:schemeClr>
              </a:solidFill>
            </a:ln>
          </c:spPr>
          <c:marker>
            <c:symbol val="none"/>
          </c:marker>
          <c:cat>
            <c:strRef>
              <c:f>invitees!$A$2:$A$13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invitees!$K$2:$K$13</c:f>
              <c:numCache>
                <c:formatCode>General</c:formatCode>
                <c:ptCount val="12"/>
                <c:pt idx="0">
                  <c:v>11243</c:v>
                </c:pt>
                <c:pt idx="1">
                  <c:v>21265</c:v>
                </c:pt>
                <c:pt idx="2">
                  <c:v>29330</c:v>
                </c:pt>
                <c:pt idx="3">
                  <c:v>32549</c:v>
                </c:pt>
                <c:pt idx="4">
                  <c:v>47514</c:v>
                </c:pt>
                <c:pt idx="5">
                  <c:v>29730</c:v>
                </c:pt>
                <c:pt idx="6">
                  <c:v>15537</c:v>
                </c:pt>
                <c:pt idx="7">
                  <c:v>11458</c:v>
                </c:pt>
                <c:pt idx="8">
                  <c:v>10927</c:v>
                </c:pt>
                <c:pt idx="9">
                  <c:v>11526</c:v>
                </c:pt>
                <c:pt idx="10">
                  <c:v>12279</c:v>
                </c:pt>
                <c:pt idx="11">
                  <c:v>13351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4EB-431C-B9EB-4B01507FF038}"/>
            </c:ext>
          </c:extLst>
        </c:ser>
        <c:ser>
          <c:idx val="10"/>
          <c:order val="10"/>
          <c:tx>
            <c:strRef>
              <c:f>invitees!$L$1</c:f>
              <c:strCache>
                <c:ptCount val="1"/>
                <c:pt idx="0">
                  <c:v>2022/23</c:v>
                </c:pt>
              </c:strCache>
            </c:strRef>
          </c:tx>
          <c:spPr>
            <a:ln w="25400"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strRef>
              <c:f>invitees!$A$2:$A$13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invitees!$L$2:$L$13</c:f>
              <c:numCache>
                <c:formatCode>General</c:formatCode>
                <c:ptCount val="12"/>
                <c:pt idx="0">
                  <c:v>11143</c:v>
                </c:pt>
                <c:pt idx="1">
                  <c:v>23886</c:v>
                </c:pt>
                <c:pt idx="2">
                  <c:v>38501</c:v>
                </c:pt>
                <c:pt idx="3">
                  <c:v>43928</c:v>
                </c:pt>
                <c:pt idx="4">
                  <c:v>58003</c:v>
                </c:pt>
                <c:pt idx="5">
                  <c:v>34907</c:v>
                </c:pt>
                <c:pt idx="6">
                  <c:v>19321</c:v>
                </c:pt>
                <c:pt idx="7">
                  <c:v>12511</c:v>
                </c:pt>
                <c:pt idx="8">
                  <c:v>11818</c:v>
                </c:pt>
                <c:pt idx="9">
                  <c:v>12465</c:v>
                </c:pt>
                <c:pt idx="10">
                  <c:v>12593</c:v>
                </c:pt>
                <c:pt idx="11">
                  <c:v>14855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4EB-431C-B9EB-4B01507FF038}"/>
            </c:ext>
          </c:extLst>
        </c:ser>
        <c:ser>
          <c:idx val="11"/>
          <c:order val="11"/>
          <c:tx>
            <c:v>2023/24</c:v>
          </c:tx>
          <c:spPr>
            <a:ln w="25400">
              <a:solidFill>
                <a:schemeClr val="tx1">
                  <a:lumMod val="65000"/>
                  <a:lumOff val="35000"/>
                </a:schemeClr>
              </a:solidFill>
            </a:ln>
          </c:spPr>
          <c:marker>
            <c:symbol val="none"/>
          </c:marker>
          <c:cat>
            <c:strRef>
              <c:f>invitees!$A$2:$A$13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invitees!$M$2:$M$13</c:f>
              <c:numCache>
                <c:formatCode>General</c:formatCode>
                <c:ptCount val="12"/>
                <c:pt idx="0">
                  <c:v>10786</c:v>
                </c:pt>
                <c:pt idx="1">
                  <c:v>26536</c:v>
                </c:pt>
                <c:pt idx="2">
                  <c:v>39120</c:v>
                </c:pt>
                <c:pt idx="3">
                  <c:v>46500</c:v>
                </c:pt>
                <c:pt idx="4">
                  <c:v>61899</c:v>
                </c:pt>
                <c:pt idx="5">
                  <c:v>37813</c:v>
                </c:pt>
                <c:pt idx="6">
                  <c:v>18557</c:v>
                </c:pt>
                <c:pt idx="7">
                  <c:v>13269</c:v>
                </c:pt>
                <c:pt idx="8">
                  <c:v>13180</c:v>
                </c:pt>
                <c:pt idx="9">
                  <c:v>12789</c:v>
                </c:pt>
                <c:pt idx="10">
                  <c:v>14127</c:v>
                </c:pt>
                <c:pt idx="11">
                  <c:v>16824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4EB-431C-B9EB-4B01507FF038}"/>
            </c:ext>
          </c:extLst>
        </c:ser>
        <c:ser>
          <c:idx val="12"/>
          <c:order val="12"/>
          <c:tx>
            <c:strRef>
              <c:f>invitees!$N$1</c:f>
              <c:strCache>
                <c:ptCount val="1"/>
                <c:pt idx="0">
                  <c:v>2024/25</c:v>
                </c:pt>
              </c:strCache>
            </c:strRef>
          </c:tx>
          <c:spPr>
            <a:ln w="25400">
              <a:solidFill>
                <a:schemeClr val="tx1">
                  <a:lumMod val="75000"/>
                  <a:lumOff val="25000"/>
                </a:schemeClr>
              </a:solidFill>
            </a:ln>
          </c:spPr>
          <c:marker>
            <c:spPr>
              <a:ln>
                <a:noFill/>
              </a:ln>
            </c:spPr>
          </c:marker>
          <c:cat>
            <c:strRef>
              <c:f>invitees!$A$2:$A$13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invitees!$N$2:$N$13</c:f>
              <c:numCache>
                <c:formatCode>General</c:formatCode>
                <c:ptCount val="12"/>
                <c:pt idx="0">
                  <c:v>11408</c:v>
                </c:pt>
                <c:pt idx="1">
                  <c:v>25221</c:v>
                </c:pt>
                <c:pt idx="2">
                  <c:v>42564</c:v>
                </c:pt>
                <c:pt idx="3">
                  <c:v>47275</c:v>
                </c:pt>
                <c:pt idx="4">
                  <c:v>63530</c:v>
                </c:pt>
                <c:pt idx="5">
                  <c:v>36472</c:v>
                </c:pt>
                <c:pt idx="6">
                  <c:v>18344</c:v>
                </c:pt>
                <c:pt idx="7">
                  <c:v>12953</c:v>
                </c:pt>
                <c:pt idx="8">
                  <c:v>12682</c:v>
                </c:pt>
                <c:pt idx="9">
                  <c:v>13180</c:v>
                </c:pt>
                <c:pt idx="10">
                  <c:v>12598</c:v>
                </c:pt>
                <c:pt idx="11">
                  <c:v>15145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4EB-431C-B9EB-4B01507FF038}"/>
            </c:ext>
          </c:extLst>
        </c:ser>
        <c:ser>
          <c:idx val="13"/>
          <c:order val="13"/>
          <c:tx>
            <c:strRef>
              <c:f>invitees!$O$1</c:f>
              <c:strCache>
                <c:ptCount val="1"/>
                <c:pt idx="0">
                  <c:v>2025/26</c:v>
                </c:pt>
              </c:strCache>
            </c:strRef>
          </c:tx>
          <c:spPr>
            <a:ln w="25400"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pPr>
              <a:ln>
                <a:noFill/>
              </a:ln>
            </c:spPr>
          </c:marker>
          <c:cat>
            <c:strRef>
              <c:f>invitees!$A$2:$A$13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invitees!$O$2:$O$13</c:f>
              <c:numCache>
                <c:formatCode>General</c:formatCode>
                <c:ptCount val="12"/>
                <c:pt idx="0">
                  <c:v>13197</c:v>
                </c:pt>
                <c:pt idx="1">
                  <c:v>26462</c:v>
                </c:pt>
                <c:pt idx="2">
                  <c:v>40307</c:v>
                </c:pt>
                <c:pt idx="3">
                  <c:v>56499</c:v>
                </c:pt>
                <c:pt idx="4">
                  <c:v>71626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4EB-431C-B9EB-4B01507FF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9147648"/>
        <c:axId val="299149568"/>
      </c:lineChart>
      <c:dateAx>
        <c:axId val="299147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800"/>
                </a:pPr>
                <a:r>
                  <a:rPr lang="en-US" sz="1800"/>
                  <a:t>Month </a:t>
                </a:r>
              </a:p>
            </c:rich>
          </c:tx>
          <c:overlay val="0"/>
        </c:title>
        <c:numFmt formatCode="mmm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400"/>
            </a:pPr>
            <a:endParaRPr lang="en-US"/>
          </a:p>
        </c:txPr>
        <c:crossAx val="299149568"/>
        <c:crosses val="autoZero"/>
        <c:auto val="0"/>
        <c:lblOffset val="100"/>
        <c:baseTimeUnit val="days"/>
      </c:dateAx>
      <c:valAx>
        <c:axId val="299149568"/>
        <c:scaling>
          <c:orientation val="minMax"/>
          <c:min val="0"/>
        </c:scaling>
        <c:delete val="0"/>
        <c:axPos val="l"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299147648"/>
        <c:crosses val="autoZero"/>
        <c:crossBetween val="between"/>
      </c:valAx>
      <c:spPr>
        <a:noFill/>
        <a:ln>
          <a:noFill/>
        </a:ln>
      </c:spPr>
    </c:plotArea>
    <c:legend>
      <c:legendPos val="r"/>
      <c:layout>
        <c:manualLayout>
          <c:xMode val="edge"/>
          <c:yMode val="edge"/>
          <c:x val="0.55044419212127949"/>
          <c:y val="0.1324546039203684"/>
          <c:w val="0.14846731890325407"/>
          <c:h val="0.51143585278997017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en-US" sz="2000"/>
              <a:t>Complete responses</a:t>
            </a:r>
            <a:r>
              <a:rPr lang="en-US" sz="2000" baseline="0"/>
              <a:t> by month across years</a:t>
            </a:r>
            <a:endParaRPr lang="en-US" sz="2000"/>
          </a:p>
        </c:rich>
      </c:tx>
      <c:overlay val="0"/>
      <c:spPr>
        <a:noFill/>
      </c:spPr>
    </c:title>
    <c:autoTitleDeleted val="0"/>
    <c:plotArea>
      <c:layout>
        <c:manualLayout>
          <c:layoutTarget val="inner"/>
          <c:xMode val="edge"/>
          <c:yMode val="edge"/>
          <c:x val="0.11689682156349572"/>
          <c:y val="0.1211089619600258"/>
          <c:w val="0.73421111947311868"/>
          <c:h val="0.71525040994633893"/>
        </c:manualLayout>
      </c:layout>
      <c:lineChart>
        <c:grouping val="standard"/>
        <c:varyColors val="0"/>
        <c:ser>
          <c:idx val="2"/>
          <c:order val="0"/>
          <c:tx>
            <c:strRef>
              <c:f>'total responses'!$B$1</c:f>
              <c:strCache>
                <c:ptCount val="1"/>
              </c:strCache>
            </c:strRef>
          </c:tx>
          <c:cat>
            <c:strRef>
              <c:f>'total responses'!$A$2:$A$12</c:f>
              <c:strCache>
                <c:ptCount val="11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</c:strCache>
            </c:strRef>
          </c:cat>
          <c:val>
            <c:numRef>
              <c:f>'total responses'!$B$2:$B$12</c:f>
              <c:numCache>
                <c:formatCode>General</c:formatCode>
                <c:ptCount val="11"/>
                <c:pt idx="3">
                  <c:v>928</c:v>
                </c:pt>
                <c:pt idx="4">
                  <c:v>1268</c:v>
                </c:pt>
                <c:pt idx="5">
                  <c:v>650</c:v>
                </c:pt>
                <c:pt idx="6">
                  <c:v>701</c:v>
                </c:pt>
                <c:pt idx="7">
                  <c:v>602</c:v>
                </c:pt>
                <c:pt idx="8">
                  <c:v>637</c:v>
                </c:pt>
                <c:pt idx="9">
                  <c:v>645</c:v>
                </c:pt>
                <c:pt idx="10">
                  <c:v>630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47-40AF-90FB-7FBA760DC4CD}"/>
            </c:ext>
          </c:extLst>
        </c:ser>
        <c:ser>
          <c:idx val="0"/>
          <c:order val="1"/>
          <c:tx>
            <c:strRef>
              <c:f>'total responses'!$C$1</c:f>
              <c:strCache>
                <c:ptCount val="1"/>
                <c:pt idx="0">
                  <c:v>2013/14</c:v>
                </c:pt>
              </c:strCache>
            </c:strRef>
          </c:tx>
          <c:cat>
            <c:strRef>
              <c:f>'total responses'!$A$2:$A$12</c:f>
              <c:strCache>
                <c:ptCount val="11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</c:strCache>
            </c:strRef>
          </c:cat>
          <c:val>
            <c:numRef>
              <c:f>'total responses'!$C$2:$C$12</c:f>
              <c:numCache>
                <c:formatCode>General</c:formatCode>
                <c:ptCount val="11"/>
                <c:pt idx="0">
                  <c:v>1130</c:v>
                </c:pt>
                <c:pt idx="1">
                  <c:v>1734</c:v>
                </c:pt>
                <c:pt idx="2">
                  <c:v>1600</c:v>
                </c:pt>
                <c:pt idx="3">
                  <c:v>2236</c:v>
                </c:pt>
                <c:pt idx="4">
                  <c:v>2278</c:v>
                </c:pt>
                <c:pt idx="5">
                  <c:v>1550</c:v>
                </c:pt>
                <c:pt idx="6">
                  <c:v>1476</c:v>
                </c:pt>
                <c:pt idx="7">
                  <c:v>1010</c:v>
                </c:pt>
                <c:pt idx="8">
                  <c:v>1045</c:v>
                </c:pt>
                <c:pt idx="9">
                  <c:v>1039</c:v>
                </c:pt>
                <c:pt idx="10">
                  <c:v>1012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47-40AF-90FB-7FBA760DC4CD}"/>
            </c:ext>
          </c:extLst>
        </c:ser>
        <c:ser>
          <c:idx val="1"/>
          <c:order val="2"/>
          <c:tx>
            <c:strRef>
              <c:f>'total responses'!$D$1</c:f>
              <c:strCache>
                <c:ptCount val="1"/>
                <c:pt idx="0">
                  <c:v>2014/15</c:v>
                </c:pt>
              </c:strCache>
            </c:strRef>
          </c:tx>
          <c:cat>
            <c:strRef>
              <c:f>'total responses'!$A$2:$A$12</c:f>
              <c:strCache>
                <c:ptCount val="11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</c:strCache>
            </c:strRef>
          </c:cat>
          <c:val>
            <c:numRef>
              <c:f>'total responses'!$D$2:$D$12</c:f>
              <c:numCache>
                <c:formatCode>General</c:formatCode>
                <c:ptCount val="11"/>
                <c:pt idx="0">
                  <c:v>1264</c:v>
                </c:pt>
                <c:pt idx="1">
                  <c:v>1346</c:v>
                </c:pt>
                <c:pt idx="2">
                  <c:v>2437</c:v>
                </c:pt>
                <c:pt idx="3">
                  <c:v>4111</c:v>
                </c:pt>
                <c:pt idx="4">
                  <c:v>4832</c:v>
                </c:pt>
                <c:pt idx="5">
                  <c:v>2126</c:v>
                </c:pt>
                <c:pt idx="6">
                  <c:v>1434</c:v>
                </c:pt>
                <c:pt idx="7">
                  <c:v>1378</c:v>
                </c:pt>
                <c:pt idx="8">
                  <c:v>1450</c:v>
                </c:pt>
                <c:pt idx="9">
                  <c:v>2777</c:v>
                </c:pt>
                <c:pt idx="10">
                  <c:v>2836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47-40AF-90FB-7FBA760DC4CD}"/>
            </c:ext>
          </c:extLst>
        </c:ser>
        <c:ser>
          <c:idx val="3"/>
          <c:order val="3"/>
          <c:tx>
            <c:strRef>
              <c:f>'total responses'!$E$1</c:f>
              <c:strCache>
                <c:ptCount val="1"/>
                <c:pt idx="0">
                  <c:v>2015/16</c:v>
                </c:pt>
              </c:strCache>
            </c:strRef>
          </c:tx>
          <c:cat>
            <c:strRef>
              <c:f>'total responses'!$A$2:$A$12</c:f>
              <c:strCache>
                <c:ptCount val="11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</c:strCache>
            </c:strRef>
          </c:cat>
          <c:val>
            <c:numRef>
              <c:f>'total responses'!$E$2:$E$12</c:f>
              <c:numCache>
                <c:formatCode>General</c:formatCode>
                <c:ptCount val="11"/>
                <c:pt idx="0">
                  <c:v>1876</c:v>
                </c:pt>
                <c:pt idx="1">
                  <c:v>2779</c:v>
                </c:pt>
                <c:pt idx="2">
                  <c:v>2668</c:v>
                </c:pt>
                <c:pt idx="3">
                  <c:v>3298</c:v>
                </c:pt>
                <c:pt idx="4">
                  <c:v>3359</c:v>
                </c:pt>
                <c:pt idx="5">
                  <c:v>2244</c:v>
                </c:pt>
                <c:pt idx="6">
                  <c:v>2404</c:v>
                </c:pt>
                <c:pt idx="7">
                  <c:v>2326</c:v>
                </c:pt>
                <c:pt idx="8">
                  <c:v>2411</c:v>
                </c:pt>
                <c:pt idx="9">
                  <c:v>2412</c:v>
                </c:pt>
                <c:pt idx="10">
                  <c:v>2420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47-40AF-90FB-7FBA760DC4CD}"/>
            </c:ext>
          </c:extLst>
        </c:ser>
        <c:ser>
          <c:idx val="4"/>
          <c:order val="4"/>
          <c:tx>
            <c:strRef>
              <c:f>'total responses'!$F$1</c:f>
              <c:strCache>
                <c:ptCount val="1"/>
                <c:pt idx="0">
                  <c:v>2016/17</c:v>
                </c:pt>
              </c:strCache>
            </c:strRef>
          </c:tx>
          <c:cat>
            <c:strRef>
              <c:f>'total responses'!$A$2:$A$12</c:f>
              <c:strCache>
                <c:ptCount val="11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</c:strCache>
            </c:strRef>
          </c:cat>
          <c:val>
            <c:numRef>
              <c:f>'total responses'!$F$2:$F$12</c:f>
              <c:numCache>
                <c:formatCode>General</c:formatCode>
                <c:ptCount val="11"/>
                <c:pt idx="0">
                  <c:v>1817</c:v>
                </c:pt>
                <c:pt idx="1">
                  <c:v>3432</c:v>
                </c:pt>
                <c:pt idx="2">
                  <c:v>3846</c:v>
                </c:pt>
                <c:pt idx="3">
                  <c:v>4613</c:v>
                </c:pt>
                <c:pt idx="4">
                  <c:v>4337</c:v>
                </c:pt>
                <c:pt idx="5">
                  <c:v>3051</c:v>
                </c:pt>
                <c:pt idx="6">
                  <c:v>2337</c:v>
                </c:pt>
                <c:pt idx="7">
                  <c:v>2305</c:v>
                </c:pt>
                <c:pt idx="8">
                  <c:v>2297</c:v>
                </c:pt>
                <c:pt idx="9">
                  <c:v>2324</c:v>
                </c:pt>
                <c:pt idx="10">
                  <c:v>2268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747-40AF-90FB-7FBA760DC4CD}"/>
            </c:ext>
          </c:extLst>
        </c:ser>
        <c:ser>
          <c:idx val="5"/>
          <c:order val="5"/>
          <c:tx>
            <c:strRef>
              <c:f>'total responses'!$G$1</c:f>
              <c:strCache>
                <c:ptCount val="1"/>
                <c:pt idx="0">
                  <c:v>2017/18</c:v>
                </c:pt>
              </c:strCache>
            </c:strRef>
          </c:tx>
          <c:cat>
            <c:strRef>
              <c:f>'total responses'!$A$2:$A$12</c:f>
              <c:strCache>
                <c:ptCount val="11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</c:strCache>
            </c:strRef>
          </c:cat>
          <c:val>
            <c:numRef>
              <c:f>'total responses'!$G$2:$G$12</c:f>
              <c:numCache>
                <c:formatCode>General</c:formatCode>
                <c:ptCount val="11"/>
                <c:pt idx="0">
                  <c:v>1619</c:v>
                </c:pt>
                <c:pt idx="1">
                  <c:v>3387</c:v>
                </c:pt>
                <c:pt idx="2">
                  <c:v>3117</c:v>
                </c:pt>
                <c:pt idx="3">
                  <c:v>4117</c:v>
                </c:pt>
                <c:pt idx="4">
                  <c:v>3869</c:v>
                </c:pt>
                <c:pt idx="5">
                  <c:v>2598</c:v>
                </c:pt>
                <c:pt idx="6">
                  <c:v>2291</c:v>
                </c:pt>
                <c:pt idx="7">
                  <c:v>2210</c:v>
                </c:pt>
                <c:pt idx="8">
                  <c:v>2221</c:v>
                </c:pt>
                <c:pt idx="9">
                  <c:v>2244</c:v>
                </c:pt>
                <c:pt idx="10">
                  <c:v>2210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747-40AF-90FB-7FBA760DC4CD}"/>
            </c:ext>
          </c:extLst>
        </c:ser>
        <c:ser>
          <c:idx val="6"/>
          <c:order val="6"/>
          <c:tx>
            <c:strRef>
              <c:f>'total responses'!$H$1</c:f>
              <c:strCache>
                <c:ptCount val="1"/>
                <c:pt idx="0">
                  <c:v>2018/19</c:v>
                </c:pt>
              </c:strCache>
            </c:strRef>
          </c:tx>
          <c:cat>
            <c:strRef>
              <c:f>'total responses'!$A$2:$A$12</c:f>
              <c:strCache>
                <c:ptCount val="11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</c:strCache>
            </c:strRef>
          </c:cat>
          <c:val>
            <c:numRef>
              <c:f>'total responses'!$H$2:$H$12</c:f>
              <c:numCache>
                <c:formatCode>General</c:formatCode>
                <c:ptCount val="11"/>
                <c:pt idx="0">
                  <c:v>2073</c:v>
                </c:pt>
                <c:pt idx="1">
                  <c:v>3092</c:v>
                </c:pt>
                <c:pt idx="2">
                  <c:v>3080</c:v>
                </c:pt>
                <c:pt idx="3">
                  <c:v>4438</c:v>
                </c:pt>
                <c:pt idx="4">
                  <c:v>5207</c:v>
                </c:pt>
                <c:pt idx="5">
                  <c:v>3420</c:v>
                </c:pt>
                <c:pt idx="6">
                  <c:v>2632</c:v>
                </c:pt>
                <c:pt idx="7">
                  <c:v>2480</c:v>
                </c:pt>
                <c:pt idx="8">
                  <c:v>2321</c:v>
                </c:pt>
                <c:pt idx="9">
                  <c:v>2643</c:v>
                </c:pt>
                <c:pt idx="10">
                  <c:v>2705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747-40AF-90FB-7FBA760DC4CD}"/>
            </c:ext>
          </c:extLst>
        </c:ser>
        <c:ser>
          <c:idx val="7"/>
          <c:order val="7"/>
          <c:tx>
            <c:strRef>
              <c:f>'total responses'!$I$1</c:f>
              <c:strCache>
                <c:ptCount val="1"/>
                <c:pt idx="0">
                  <c:v>2019/20</c:v>
                </c:pt>
              </c:strCache>
            </c:strRef>
          </c:tx>
          <c:cat>
            <c:strRef>
              <c:f>'total responses'!$A$2:$A$12</c:f>
              <c:strCache>
                <c:ptCount val="11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</c:strCache>
            </c:strRef>
          </c:cat>
          <c:val>
            <c:numRef>
              <c:f>'total responses'!$I$2:$I$12</c:f>
              <c:numCache>
                <c:formatCode>General</c:formatCode>
                <c:ptCount val="11"/>
                <c:pt idx="0">
                  <c:v>2499</c:v>
                </c:pt>
                <c:pt idx="1">
                  <c:v>3278</c:v>
                </c:pt>
                <c:pt idx="2">
                  <c:v>3791</c:v>
                </c:pt>
                <c:pt idx="3">
                  <c:v>4889</c:v>
                </c:pt>
                <c:pt idx="4">
                  <c:v>5150</c:v>
                </c:pt>
                <c:pt idx="5">
                  <c:v>3078</c:v>
                </c:pt>
                <c:pt idx="6">
                  <c:v>3078</c:v>
                </c:pt>
                <c:pt idx="7">
                  <c:v>2151</c:v>
                </c:pt>
                <c:pt idx="8">
                  <c:v>2258</c:v>
                </c:pt>
                <c:pt idx="9">
                  <c:v>1987</c:v>
                </c:pt>
                <c:pt idx="10">
                  <c:v>2498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747-40AF-90FB-7FBA760DC4CD}"/>
            </c:ext>
          </c:extLst>
        </c:ser>
        <c:ser>
          <c:idx val="8"/>
          <c:order val="8"/>
          <c:tx>
            <c:strRef>
              <c:f>'total responses'!$J$1</c:f>
              <c:strCache>
                <c:ptCount val="1"/>
                <c:pt idx="0">
                  <c:v>2020/21</c:v>
                </c:pt>
              </c:strCache>
            </c:strRef>
          </c:tx>
          <c:spPr>
            <a:ln w="25400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cat>
            <c:strRef>
              <c:f>'total responses'!$A$2:$A$12</c:f>
              <c:strCache>
                <c:ptCount val="11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</c:strCache>
            </c:strRef>
          </c:cat>
          <c:val>
            <c:numRef>
              <c:f>'total responses'!$J$2:$J$12</c:f>
              <c:numCache>
                <c:formatCode>General</c:formatCode>
                <c:ptCount val="11"/>
                <c:pt idx="0">
                  <c:v>4034</c:v>
                </c:pt>
                <c:pt idx="1">
                  <c:v>9313</c:v>
                </c:pt>
                <c:pt idx="2">
                  <c:v>13536</c:v>
                </c:pt>
                <c:pt idx="3">
                  <c:v>11441</c:v>
                </c:pt>
                <c:pt idx="4">
                  <c:v>17013</c:v>
                </c:pt>
                <c:pt idx="5">
                  <c:v>10645</c:v>
                </c:pt>
                <c:pt idx="6">
                  <c:v>6448</c:v>
                </c:pt>
                <c:pt idx="7">
                  <c:v>4785</c:v>
                </c:pt>
                <c:pt idx="8">
                  <c:v>4887</c:v>
                </c:pt>
                <c:pt idx="9">
                  <c:v>4748</c:v>
                </c:pt>
                <c:pt idx="10">
                  <c:v>4829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747-40AF-90FB-7FBA760DC4CD}"/>
            </c:ext>
          </c:extLst>
        </c:ser>
        <c:ser>
          <c:idx val="9"/>
          <c:order val="9"/>
          <c:tx>
            <c:strRef>
              <c:f>'total responses'!$K$1</c:f>
              <c:strCache>
                <c:ptCount val="1"/>
                <c:pt idx="0">
                  <c:v>2021/22</c:v>
                </c:pt>
              </c:strCache>
            </c:strRef>
          </c:tx>
          <c:spPr>
            <a:ln w="25400">
              <a:solidFill>
                <a:schemeClr val="bg1">
                  <a:lumMod val="50000"/>
                </a:schemeClr>
              </a:solidFill>
            </a:ln>
          </c:spPr>
          <c:marker>
            <c:symbol val="none"/>
          </c:marker>
          <c:cat>
            <c:strRef>
              <c:f>'total responses'!$A$2:$A$12</c:f>
              <c:strCache>
                <c:ptCount val="11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</c:strCache>
            </c:strRef>
          </c:cat>
          <c:val>
            <c:numRef>
              <c:f>'total responses'!$K$2:$K$12</c:f>
              <c:numCache>
                <c:formatCode>General</c:formatCode>
                <c:ptCount val="11"/>
                <c:pt idx="0">
                  <c:v>5347</c:v>
                </c:pt>
                <c:pt idx="1">
                  <c:v>9872</c:v>
                </c:pt>
                <c:pt idx="2">
                  <c:v>13161</c:v>
                </c:pt>
                <c:pt idx="3">
                  <c:v>13921</c:v>
                </c:pt>
                <c:pt idx="4">
                  <c:v>20722</c:v>
                </c:pt>
                <c:pt idx="5">
                  <c:v>13064</c:v>
                </c:pt>
                <c:pt idx="6">
                  <c:v>6594</c:v>
                </c:pt>
                <c:pt idx="7">
                  <c:v>4504</c:v>
                </c:pt>
                <c:pt idx="8">
                  <c:v>4517</c:v>
                </c:pt>
                <c:pt idx="9">
                  <c:v>3343</c:v>
                </c:pt>
                <c:pt idx="10">
                  <c:v>5074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747-40AF-90FB-7FBA760DC4CD}"/>
            </c:ext>
          </c:extLst>
        </c:ser>
        <c:ser>
          <c:idx val="10"/>
          <c:order val="10"/>
          <c:tx>
            <c:strRef>
              <c:f>'total responses'!$L$1</c:f>
              <c:strCache>
                <c:ptCount val="1"/>
                <c:pt idx="0">
                  <c:v>2022/23</c:v>
                </c:pt>
              </c:strCache>
            </c:strRef>
          </c:tx>
          <c:spPr>
            <a:ln w="25400"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strRef>
              <c:f>'total responses'!$A$2:$A$12</c:f>
              <c:strCache>
                <c:ptCount val="11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</c:strCache>
            </c:strRef>
          </c:cat>
          <c:val>
            <c:numRef>
              <c:f>'total responses'!$L$2:$L$12</c:f>
              <c:numCache>
                <c:formatCode>General</c:formatCode>
                <c:ptCount val="11"/>
                <c:pt idx="0">
                  <c:v>5864</c:v>
                </c:pt>
                <c:pt idx="1">
                  <c:v>11791</c:v>
                </c:pt>
                <c:pt idx="2">
                  <c:v>19544</c:v>
                </c:pt>
                <c:pt idx="3">
                  <c:v>21728</c:v>
                </c:pt>
                <c:pt idx="4">
                  <c:v>28202</c:v>
                </c:pt>
                <c:pt idx="5">
                  <c:v>17241</c:v>
                </c:pt>
                <c:pt idx="6">
                  <c:v>9778</c:v>
                </c:pt>
                <c:pt idx="7">
                  <c:v>6252</c:v>
                </c:pt>
                <c:pt idx="8">
                  <c:v>6015</c:v>
                </c:pt>
                <c:pt idx="9">
                  <c:v>6282</c:v>
                </c:pt>
                <c:pt idx="10">
                  <c:v>6383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747-40AF-90FB-7FBA760DC4CD}"/>
            </c:ext>
          </c:extLst>
        </c:ser>
        <c:ser>
          <c:idx val="11"/>
          <c:order val="11"/>
          <c:tx>
            <c:strRef>
              <c:f>'total responses'!$M$1</c:f>
              <c:strCache>
                <c:ptCount val="1"/>
                <c:pt idx="0">
                  <c:v>2023/24</c:v>
                </c:pt>
              </c:strCache>
            </c:strRef>
          </c:tx>
          <c:spPr>
            <a:ln w="25400">
              <a:solidFill>
                <a:schemeClr val="tx1">
                  <a:lumMod val="65000"/>
                  <a:lumOff val="35000"/>
                </a:schemeClr>
              </a:solidFill>
            </a:ln>
          </c:spPr>
          <c:marker>
            <c:symbol val="none"/>
          </c:marker>
          <c:cat>
            <c:strRef>
              <c:f>'total responses'!$A$2:$A$12</c:f>
              <c:strCache>
                <c:ptCount val="11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</c:strCache>
            </c:strRef>
          </c:cat>
          <c:val>
            <c:numRef>
              <c:f>'total responses'!$M$2:$M$12</c:f>
              <c:numCache>
                <c:formatCode>General</c:formatCode>
                <c:ptCount val="11"/>
                <c:pt idx="0">
                  <c:v>5536</c:v>
                </c:pt>
                <c:pt idx="1">
                  <c:v>13184</c:v>
                </c:pt>
                <c:pt idx="2">
                  <c:v>18770</c:v>
                </c:pt>
                <c:pt idx="3">
                  <c:v>21322</c:v>
                </c:pt>
                <c:pt idx="4">
                  <c:v>28107</c:v>
                </c:pt>
                <c:pt idx="5">
                  <c:v>17034</c:v>
                </c:pt>
                <c:pt idx="6">
                  <c:v>8767</c:v>
                </c:pt>
                <c:pt idx="7">
                  <c:v>6309</c:v>
                </c:pt>
                <c:pt idx="8">
                  <c:v>5982</c:v>
                </c:pt>
                <c:pt idx="9">
                  <c:v>5738</c:v>
                </c:pt>
                <c:pt idx="10">
                  <c:v>6616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747-40AF-90FB-7FBA760DC4CD}"/>
            </c:ext>
          </c:extLst>
        </c:ser>
        <c:ser>
          <c:idx val="12"/>
          <c:order val="12"/>
          <c:tx>
            <c:strRef>
              <c:f>'total responses'!$N$1</c:f>
              <c:strCache>
                <c:ptCount val="1"/>
                <c:pt idx="0">
                  <c:v>2024/25</c:v>
                </c:pt>
              </c:strCache>
            </c:strRef>
          </c:tx>
          <c:spPr>
            <a:ln w="25400">
              <a:solidFill>
                <a:schemeClr val="tx1">
                  <a:lumMod val="75000"/>
                  <a:lumOff val="25000"/>
                </a:schemeClr>
              </a:solidFill>
            </a:ln>
          </c:spPr>
          <c:marker>
            <c:spPr>
              <a:ln>
                <a:noFill/>
              </a:ln>
            </c:spPr>
          </c:marker>
          <c:cat>
            <c:strRef>
              <c:f>'total responses'!$A$2:$A$12</c:f>
              <c:strCache>
                <c:ptCount val="11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</c:strCache>
            </c:strRef>
          </c:cat>
          <c:val>
            <c:numRef>
              <c:f>'total responses'!$N$2:$N$12</c:f>
              <c:numCache>
                <c:formatCode>General</c:formatCode>
                <c:ptCount val="11"/>
                <c:pt idx="0">
                  <c:v>5492</c:v>
                </c:pt>
                <c:pt idx="1">
                  <c:v>12019</c:v>
                </c:pt>
                <c:pt idx="2">
                  <c:v>18147</c:v>
                </c:pt>
                <c:pt idx="3">
                  <c:v>19223</c:v>
                </c:pt>
                <c:pt idx="4">
                  <c:v>25475</c:v>
                </c:pt>
                <c:pt idx="5">
                  <c:v>14493</c:v>
                </c:pt>
                <c:pt idx="6">
                  <c:v>7529</c:v>
                </c:pt>
                <c:pt idx="7">
                  <c:v>5486</c:v>
                </c:pt>
                <c:pt idx="8">
                  <c:v>5451</c:v>
                </c:pt>
                <c:pt idx="9">
                  <c:v>5668</c:v>
                </c:pt>
                <c:pt idx="10">
                  <c:v>5429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747-40AF-90FB-7FBA760DC4CD}"/>
            </c:ext>
          </c:extLst>
        </c:ser>
        <c:ser>
          <c:idx val="13"/>
          <c:order val="13"/>
          <c:tx>
            <c:strRef>
              <c:f>'total responses'!$O$1</c:f>
              <c:strCache>
                <c:ptCount val="1"/>
                <c:pt idx="0">
                  <c:v>2025/26</c:v>
                </c:pt>
              </c:strCache>
            </c:strRef>
          </c:tx>
          <c:spPr>
            <a:ln w="25400"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pPr>
              <a:ln>
                <a:noFill/>
              </a:ln>
            </c:spPr>
          </c:marker>
          <c:cat>
            <c:strRef>
              <c:f>'total responses'!$A$2:$A$12</c:f>
              <c:strCache>
                <c:ptCount val="11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</c:strCache>
            </c:strRef>
          </c:cat>
          <c:val>
            <c:numRef>
              <c:f>'total responses'!$O$2:$O$12</c:f>
              <c:numCache>
                <c:formatCode>General</c:formatCode>
                <c:ptCount val="11"/>
                <c:pt idx="0">
                  <c:v>6273</c:v>
                </c:pt>
                <c:pt idx="1">
                  <c:v>12297</c:v>
                </c:pt>
                <c:pt idx="2">
                  <c:v>16541</c:v>
                </c:pt>
                <c:pt idx="3">
                  <c:v>24622</c:v>
                </c:pt>
                <c:pt idx="4">
                  <c:v>30610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747-40AF-90FB-7FBA760DC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9147648"/>
        <c:axId val="299149568"/>
      </c:lineChart>
      <c:dateAx>
        <c:axId val="299147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800"/>
                </a:pPr>
                <a:r>
                  <a:rPr lang="en-US" sz="1800"/>
                  <a:t>Month </a:t>
                </a:r>
              </a:p>
            </c:rich>
          </c:tx>
          <c:overlay val="0"/>
        </c:title>
        <c:numFmt formatCode="mmm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400"/>
            </a:pPr>
            <a:endParaRPr lang="en-US"/>
          </a:p>
        </c:txPr>
        <c:crossAx val="299149568"/>
        <c:crosses val="autoZero"/>
        <c:auto val="0"/>
        <c:lblOffset val="100"/>
        <c:baseTimeUnit val="days"/>
      </c:dateAx>
      <c:valAx>
        <c:axId val="299149568"/>
        <c:scaling>
          <c:orientation val="minMax"/>
          <c:min val="0"/>
        </c:scaling>
        <c:delete val="0"/>
        <c:axPos val="l"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299147648"/>
        <c:crosses val="autoZero"/>
        <c:crossBetween val="between"/>
      </c:valAx>
      <c:spPr>
        <a:noFill/>
        <a:ln>
          <a:noFill/>
        </a:ln>
      </c:spPr>
    </c:plotArea>
    <c:legend>
      <c:legendPos val="r"/>
      <c:layout>
        <c:manualLayout>
          <c:xMode val="edge"/>
          <c:yMode val="edge"/>
          <c:x val="0.55044419212127949"/>
          <c:y val="0.1324546039203684"/>
          <c:w val="0.14846731890325407"/>
          <c:h val="0.51143585278997017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number of responses to iREC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responses'!$C$1</c:f>
              <c:strCache>
                <c:ptCount val="1"/>
                <c:pt idx="0">
                  <c:v>2013/14</c:v>
                </c:pt>
              </c:strCache>
            </c:strRef>
          </c:tx>
          <c:spPr>
            <a:ln w="28575" cap="rnd">
              <a:solidFill>
                <a:schemeClr val="bg1">
                  <a:lumMod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responses'!$A$2:$A$13</c:f>
              <c:strCache>
                <c:ptCount val="12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</c:strCache>
            </c:strRef>
          </c:cat>
          <c:val>
            <c:numRef>
              <c:f>'total responses'!$C$2:$C$13</c:f>
              <c:numCache>
                <c:formatCode>General</c:formatCode>
                <c:ptCount val="12"/>
                <c:pt idx="0">
                  <c:v>1130</c:v>
                </c:pt>
                <c:pt idx="1">
                  <c:v>1734</c:v>
                </c:pt>
                <c:pt idx="2">
                  <c:v>1600</c:v>
                </c:pt>
                <c:pt idx="3">
                  <c:v>2236</c:v>
                </c:pt>
                <c:pt idx="4">
                  <c:v>2278</c:v>
                </c:pt>
                <c:pt idx="5">
                  <c:v>1550</c:v>
                </c:pt>
                <c:pt idx="6">
                  <c:v>1476</c:v>
                </c:pt>
                <c:pt idx="7">
                  <c:v>1010</c:v>
                </c:pt>
                <c:pt idx="8">
                  <c:v>1045</c:v>
                </c:pt>
                <c:pt idx="9">
                  <c:v>1039</c:v>
                </c:pt>
                <c:pt idx="10">
                  <c:v>1012</c:v>
                </c:pt>
                <c:pt idx="11">
                  <c:v>1013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7FB-486A-AC17-8B894B46E69E}"/>
            </c:ext>
          </c:extLst>
        </c:ser>
        <c:ser>
          <c:idx val="1"/>
          <c:order val="1"/>
          <c:tx>
            <c:strRef>
              <c:f>'total responses'!$D$1</c:f>
              <c:strCache>
                <c:ptCount val="1"/>
                <c:pt idx="0">
                  <c:v>2014/15</c:v>
                </c:pt>
              </c:strCache>
            </c:strRef>
          </c:tx>
          <c:spPr>
            <a:ln w="28575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responses'!$A$2:$A$13</c:f>
              <c:strCache>
                <c:ptCount val="12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</c:strCache>
            </c:strRef>
          </c:cat>
          <c:val>
            <c:numRef>
              <c:f>'total responses'!$D$2:$D$13</c:f>
              <c:numCache>
                <c:formatCode>General</c:formatCode>
                <c:ptCount val="12"/>
                <c:pt idx="0">
                  <c:v>1264</c:v>
                </c:pt>
                <c:pt idx="1">
                  <c:v>1346</c:v>
                </c:pt>
                <c:pt idx="2">
                  <c:v>2437</c:v>
                </c:pt>
                <c:pt idx="3">
                  <c:v>4111</c:v>
                </c:pt>
                <c:pt idx="4">
                  <c:v>4832</c:v>
                </c:pt>
                <c:pt idx="5">
                  <c:v>2126</c:v>
                </c:pt>
                <c:pt idx="6">
                  <c:v>1434</c:v>
                </c:pt>
                <c:pt idx="7">
                  <c:v>1378</c:v>
                </c:pt>
                <c:pt idx="8">
                  <c:v>1450</c:v>
                </c:pt>
                <c:pt idx="9">
                  <c:v>2777</c:v>
                </c:pt>
                <c:pt idx="10">
                  <c:v>2836</c:v>
                </c:pt>
                <c:pt idx="11">
                  <c:v>2614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7FB-486A-AC17-8B894B46E69E}"/>
            </c:ext>
          </c:extLst>
        </c:ser>
        <c:ser>
          <c:idx val="2"/>
          <c:order val="2"/>
          <c:tx>
            <c:strRef>
              <c:f>'total responses'!$E$1</c:f>
              <c:strCache>
                <c:ptCount val="1"/>
                <c:pt idx="0">
                  <c:v>2015/16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responses'!$A$2:$A$13</c:f>
              <c:strCache>
                <c:ptCount val="12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</c:strCache>
            </c:strRef>
          </c:cat>
          <c:val>
            <c:numRef>
              <c:f>'total responses'!$E$2:$E$13</c:f>
              <c:numCache>
                <c:formatCode>General</c:formatCode>
                <c:ptCount val="12"/>
                <c:pt idx="0">
                  <c:v>1876</c:v>
                </c:pt>
                <c:pt idx="1">
                  <c:v>2779</c:v>
                </c:pt>
                <c:pt idx="2">
                  <c:v>2668</c:v>
                </c:pt>
                <c:pt idx="3">
                  <c:v>3298</c:v>
                </c:pt>
                <c:pt idx="4">
                  <c:v>3359</c:v>
                </c:pt>
                <c:pt idx="5">
                  <c:v>2244</c:v>
                </c:pt>
                <c:pt idx="6">
                  <c:v>2404</c:v>
                </c:pt>
                <c:pt idx="7">
                  <c:v>2326</c:v>
                </c:pt>
                <c:pt idx="8">
                  <c:v>2411</c:v>
                </c:pt>
                <c:pt idx="9">
                  <c:v>2412</c:v>
                </c:pt>
                <c:pt idx="10">
                  <c:v>2420</c:v>
                </c:pt>
                <c:pt idx="11">
                  <c:v>2417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7FB-486A-AC17-8B894B46E69E}"/>
            </c:ext>
          </c:extLst>
        </c:ser>
        <c:ser>
          <c:idx val="3"/>
          <c:order val="3"/>
          <c:tx>
            <c:strRef>
              <c:f>'total responses'!$F$1</c:f>
              <c:strCache>
                <c:ptCount val="1"/>
                <c:pt idx="0">
                  <c:v>2016/17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responses'!$A$2:$A$13</c:f>
              <c:strCache>
                <c:ptCount val="12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</c:strCache>
            </c:strRef>
          </c:cat>
          <c:val>
            <c:numRef>
              <c:f>'total responses'!$F$2:$F$13</c:f>
              <c:numCache>
                <c:formatCode>General</c:formatCode>
                <c:ptCount val="12"/>
                <c:pt idx="0">
                  <c:v>1817</c:v>
                </c:pt>
                <c:pt idx="1">
                  <c:v>3432</c:v>
                </c:pt>
                <c:pt idx="2">
                  <c:v>3846</c:v>
                </c:pt>
                <c:pt idx="3">
                  <c:v>4613</c:v>
                </c:pt>
                <c:pt idx="4">
                  <c:v>4337</c:v>
                </c:pt>
                <c:pt idx="5">
                  <c:v>3051</c:v>
                </c:pt>
                <c:pt idx="6">
                  <c:v>2337</c:v>
                </c:pt>
                <c:pt idx="7">
                  <c:v>2305</c:v>
                </c:pt>
                <c:pt idx="8">
                  <c:v>2297</c:v>
                </c:pt>
                <c:pt idx="9">
                  <c:v>2324</c:v>
                </c:pt>
                <c:pt idx="10">
                  <c:v>2268</c:v>
                </c:pt>
                <c:pt idx="11">
                  <c:v>2290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7FB-486A-AC17-8B894B46E69E}"/>
            </c:ext>
          </c:extLst>
        </c:ser>
        <c:ser>
          <c:idx val="4"/>
          <c:order val="4"/>
          <c:tx>
            <c:strRef>
              <c:f>'total responses'!$G$1</c:f>
              <c:strCache>
                <c:ptCount val="1"/>
                <c:pt idx="0">
                  <c:v>2017/18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responses'!$A$2:$A$13</c:f>
              <c:strCache>
                <c:ptCount val="12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</c:strCache>
            </c:strRef>
          </c:cat>
          <c:val>
            <c:numRef>
              <c:f>'total responses'!$G$2:$G$13</c:f>
              <c:numCache>
                <c:formatCode>General</c:formatCode>
                <c:ptCount val="12"/>
                <c:pt idx="0">
                  <c:v>1619</c:v>
                </c:pt>
                <c:pt idx="1">
                  <c:v>3387</c:v>
                </c:pt>
                <c:pt idx="2">
                  <c:v>3117</c:v>
                </c:pt>
                <c:pt idx="3">
                  <c:v>4117</c:v>
                </c:pt>
                <c:pt idx="4">
                  <c:v>3869</c:v>
                </c:pt>
                <c:pt idx="5">
                  <c:v>2598</c:v>
                </c:pt>
                <c:pt idx="6">
                  <c:v>2291</c:v>
                </c:pt>
                <c:pt idx="7">
                  <c:v>2210</c:v>
                </c:pt>
                <c:pt idx="8">
                  <c:v>2221</c:v>
                </c:pt>
                <c:pt idx="9">
                  <c:v>2244</c:v>
                </c:pt>
                <c:pt idx="10">
                  <c:v>2210</c:v>
                </c:pt>
                <c:pt idx="11">
                  <c:v>2279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7FB-486A-AC17-8B894B46E69E}"/>
            </c:ext>
          </c:extLst>
        </c:ser>
        <c:ser>
          <c:idx val="5"/>
          <c:order val="5"/>
          <c:tx>
            <c:strRef>
              <c:f>'total responses'!$H$1</c:f>
              <c:strCache>
                <c:ptCount val="1"/>
                <c:pt idx="0">
                  <c:v>2018/19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responses'!$A$2:$A$13</c:f>
              <c:strCache>
                <c:ptCount val="12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</c:strCache>
            </c:strRef>
          </c:cat>
          <c:val>
            <c:numRef>
              <c:f>'total responses'!$H$2:$H$13</c:f>
              <c:numCache>
                <c:formatCode>General</c:formatCode>
                <c:ptCount val="12"/>
                <c:pt idx="0">
                  <c:v>2073</c:v>
                </c:pt>
                <c:pt idx="1">
                  <c:v>3092</c:v>
                </c:pt>
                <c:pt idx="2">
                  <c:v>3080</c:v>
                </c:pt>
                <c:pt idx="3">
                  <c:v>4438</c:v>
                </c:pt>
                <c:pt idx="4">
                  <c:v>5207</c:v>
                </c:pt>
                <c:pt idx="5">
                  <c:v>3420</c:v>
                </c:pt>
                <c:pt idx="6">
                  <c:v>2632</c:v>
                </c:pt>
                <c:pt idx="7">
                  <c:v>2480</c:v>
                </c:pt>
                <c:pt idx="8">
                  <c:v>2321</c:v>
                </c:pt>
                <c:pt idx="9">
                  <c:v>2643</c:v>
                </c:pt>
                <c:pt idx="10">
                  <c:v>2705</c:v>
                </c:pt>
                <c:pt idx="11">
                  <c:v>2793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7FB-486A-AC17-8B894B46E69E}"/>
            </c:ext>
          </c:extLst>
        </c:ser>
        <c:ser>
          <c:idx val="6"/>
          <c:order val="6"/>
          <c:tx>
            <c:strRef>
              <c:f>'total responses'!$I$1</c:f>
              <c:strCache>
                <c:ptCount val="1"/>
                <c:pt idx="0">
                  <c:v>2019/20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responses'!$A$2:$A$13</c:f>
              <c:strCache>
                <c:ptCount val="12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</c:strCache>
            </c:strRef>
          </c:cat>
          <c:val>
            <c:numRef>
              <c:f>'total responses'!$I$2:$I$13</c:f>
              <c:numCache>
                <c:formatCode>General</c:formatCode>
                <c:ptCount val="12"/>
                <c:pt idx="0">
                  <c:v>2499</c:v>
                </c:pt>
                <c:pt idx="1">
                  <c:v>3278</c:v>
                </c:pt>
                <c:pt idx="2">
                  <c:v>3791</c:v>
                </c:pt>
                <c:pt idx="3">
                  <c:v>4889</c:v>
                </c:pt>
                <c:pt idx="4">
                  <c:v>5150</c:v>
                </c:pt>
                <c:pt idx="5">
                  <c:v>3078</c:v>
                </c:pt>
                <c:pt idx="6">
                  <c:v>3078</c:v>
                </c:pt>
                <c:pt idx="7">
                  <c:v>2151</c:v>
                </c:pt>
                <c:pt idx="8">
                  <c:v>2258</c:v>
                </c:pt>
                <c:pt idx="9">
                  <c:v>1987</c:v>
                </c:pt>
                <c:pt idx="10">
                  <c:v>2498</c:v>
                </c:pt>
                <c:pt idx="11">
                  <c:v>3509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7FB-486A-AC17-8B894B46E69E}"/>
            </c:ext>
          </c:extLst>
        </c:ser>
        <c:ser>
          <c:idx val="7"/>
          <c:order val="7"/>
          <c:tx>
            <c:strRef>
              <c:f>'total responses'!$J$1</c:f>
              <c:strCache>
                <c:ptCount val="1"/>
                <c:pt idx="0">
                  <c:v>2020/21</c:v>
                </c:pt>
              </c:strCache>
            </c:strRef>
          </c:tx>
          <c:spPr>
            <a:ln w="28575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responses'!$A$2:$A$13</c:f>
              <c:strCache>
                <c:ptCount val="12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</c:strCache>
            </c:strRef>
          </c:cat>
          <c:val>
            <c:numRef>
              <c:f>'total responses'!$J$2:$J$13</c:f>
              <c:numCache>
                <c:formatCode>General</c:formatCode>
                <c:ptCount val="12"/>
                <c:pt idx="0">
                  <c:v>4034</c:v>
                </c:pt>
                <c:pt idx="1">
                  <c:v>9313</c:v>
                </c:pt>
                <c:pt idx="2">
                  <c:v>13536</c:v>
                </c:pt>
                <c:pt idx="3">
                  <c:v>11441</c:v>
                </c:pt>
                <c:pt idx="4">
                  <c:v>17013</c:v>
                </c:pt>
                <c:pt idx="5">
                  <c:v>10645</c:v>
                </c:pt>
                <c:pt idx="6">
                  <c:v>6448</c:v>
                </c:pt>
                <c:pt idx="7">
                  <c:v>4785</c:v>
                </c:pt>
                <c:pt idx="8">
                  <c:v>4887</c:v>
                </c:pt>
                <c:pt idx="9">
                  <c:v>4748</c:v>
                </c:pt>
                <c:pt idx="10">
                  <c:v>4829</c:v>
                </c:pt>
                <c:pt idx="11">
                  <c:v>5470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7FB-486A-AC17-8B894B46E69E}"/>
            </c:ext>
          </c:extLst>
        </c:ser>
        <c:ser>
          <c:idx val="8"/>
          <c:order val="8"/>
          <c:tx>
            <c:strRef>
              <c:f>'total responses'!$K$1</c:f>
              <c:strCache>
                <c:ptCount val="1"/>
                <c:pt idx="0">
                  <c:v>2021/22</c:v>
                </c:pt>
              </c:strCache>
            </c:strRef>
          </c:tx>
          <c:spPr>
            <a:ln w="28575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responses'!$A$2:$A$13</c:f>
              <c:strCache>
                <c:ptCount val="12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</c:strCache>
            </c:strRef>
          </c:cat>
          <c:val>
            <c:numRef>
              <c:f>'total responses'!$K$2:$K$13</c:f>
              <c:numCache>
                <c:formatCode>General</c:formatCode>
                <c:ptCount val="12"/>
                <c:pt idx="0">
                  <c:v>5347</c:v>
                </c:pt>
                <c:pt idx="1">
                  <c:v>9872</c:v>
                </c:pt>
                <c:pt idx="2">
                  <c:v>13161</c:v>
                </c:pt>
                <c:pt idx="3">
                  <c:v>13921</c:v>
                </c:pt>
                <c:pt idx="4">
                  <c:v>20722</c:v>
                </c:pt>
                <c:pt idx="5">
                  <c:v>13064</c:v>
                </c:pt>
                <c:pt idx="6">
                  <c:v>6594</c:v>
                </c:pt>
                <c:pt idx="7">
                  <c:v>4504</c:v>
                </c:pt>
                <c:pt idx="8">
                  <c:v>4517</c:v>
                </c:pt>
                <c:pt idx="9">
                  <c:v>3343</c:v>
                </c:pt>
                <c:pt idx="10">
                  <c:v>5074</c:v>
                </c:pt>
                <c:pt idx="11">
                  <c:v>5581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7FB-486A-AC17-8B894B46E69E}"/>
            </c:ext>
          </c:extLst>
        </c:ser>
        <c:ser>
          <c:idx val="9"/>
          <c:order val="9"/>
          <c:tx>
            <c:strRef>
              <c:f>'total responses'!$L$1</c:f>
              <c:strCache>
                <c:ptCount val="1"/>
                <c:pt idx="0">
                  <c:v>2022/23</c:v>
                </c:pt>
              </c:strCache>
            </c:strRef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responses'!$A$2:$A$13</c:f>
              <c:strCache>
                <c:ptCount val="12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</c:strCache>
            </c:strRef>
          </c:cat>
          <c:val>
            <c:numRef>
              <c:f>'total responses'!$L$2:$L$13</c:f>
              <c:numCache>
                <c:formatCode>General</c:formatCode>
                <c:ptCount val="12"/>
                <c:pt idx="0">
                  <c:v>5864</c:v>
                </c:pt>
                <c:pt idx="1">
                  <c:v>11791</c:v>
                </c:pt>
                <c:pt idx="2">
                  <c:v>19544</c:v>
                </c:pt>
                <c:pt idx="3">
                  <c:v>21728</c:v>
                </c:pt>
                <c:pt idx="4">
                  <c:v>28202</c:v>
                </c:pt>
                <c:pt idx="5">
                  <c:v>17241</c:v>
                </c:pt>
                <c:pt idx="6">
                  <c:v>9778</c:v>
                </c:pt>
                <c:pt idx="7">
                  <c:v>6252</c:v>
                </c:pt>
                <c:pt idx="8">
                  <c:v>6015</c:v>
                </c:pt>
                <c:pt idx="9">
                  <c:v>6282</c:v>
                </c:pt>
                <c:pt idx="10">
                  <c:v>6383</c:v>
                </c:pt>
                <c:pt idx="11">
                  <c:v>7494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7FB-486A-AC17-8B894B46E69E}"/>
            </c:ext>
          </c:extLst>
        </c:ser>
        <c:ser>
          <c:idx val="10"/>
          <c:order val="10"/>
          <c:tx>
            <c:strRef>
              <c:f>'total responses'!$M$1</c:f>
              <c:strCache>
                <c:ptCount val="1"/>
                <c:pt idx="0">
                  <c:v>2023/24</c:v>
                </c:pt>
              </c:strCache>
            </c:strRef>
          </c:tx>
          <c:spPr>
            <a:ln w="28575" cap="rnd">
              <a:solidFill>
                <a:schemeClr val="dk1">
                  <a:tint val="985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'total responses'!$A$2:$A$13</c:f>
              <c:strCache>
                <c:ptCount val="12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</c:strCache>
            </c:strRef>
          </c:cat>
          <c:val>
            <c:numRef>
              <c:f>'total responses'!$M$2:$M$13</c:f>
              <c:numCache>
                <c:formatCode>General</c:formatCode>
                <c:ptCount val="12"/>
                <c:pt idx="0">
                  <c:v>5536</c:v>
                </c:pt>
                <c:pt idx="1">
                  <c:v>13184</c:v>
                </c:pt>
                <c:pt idx="2">
                  <c:v>18770</c:v>
                </c:pt>
                <c:pt idx="3">
                  <c:v>21322</c:v>
                </c:pt>
                <c:pt idx="4">
                  <c:v>28107</c:v>
                </c:pt>
                <c:pt idx="5">
                  <c:v>17034</c:v>
                </c:pt>
                <c:pt idx="6">
                  <c:v>8767</c:v>
                </c:pt>
                <c:pt idx="7">
                  <c:v>6309</c:v>
                </c:pt>
                <c:pt idx="8">
                  <c:v>5982</c:v>
                </c:pt>
                <c:pt idx="9">
                  <c:v>5738</c:v>
                </c:pt>
                <c:pt idx="10">
                  <c:v>6616</c:v>
                </c:pt>
                <c:pt idx="11">
                  <c:v>8472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7FB-486A-AC17-8B894B46E69E}"/>
            </c:ext>
          </c:extLst>
        </c:ser>
        <c:ser>
          <c:idx val="11"/>
          <c:order val="11"/>
          <c:tx>
            <c:strRef>
              <c:f>'total responses'!$N$1</c:f>
              <c:strCache>
                <c:ptCount val="1"/>
                <c:pt idx="0">
                  <c:v>2024/25</c:v>
                </c:pt>
              </c:strCache>
            </c:strRef>
          </c:tx>
          <c:spPr>
            <a:ln w="28575" cap="rnd">
              <a:solidFill>
                <a:schemeClr val="dk1">
                  <a:tint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responses'!$A$2:$A$13</c:f>
              <c:strCache>
                <c:ptCount val="12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</c:strCache>
            </c:strRef>
          </c:cat>
          <c:val>
            <c:numRef>
              <c:f>'total responses'!$N$2:$N$13</c:f>
              <c:numCache>
                <c:formatCode>General</c:formatCode>
                <c:ptCount val="12"/>
                <c:pt idx="0">
                  <c:v>5492</c:v>
                </c:pt>
                <c:pt idx="1">
                  <c:v>12019</c:v>
                </c:pt>
                <c:pt idx="2">
                  <c:v>18147</c:v>
                </c:pt>
                <c:pt idx="3">
                  <c:v>19223</c:v>
                </c:pt>
                <c:pt idx="4">
                  <c:v>25475</c:v>
                </c:pt>
                <c:pt idx="5">
                  <c:v>14493</c:v>
                </c:pt>
                <c:pt idx="6">
                  <c:v>7529</c:v>
                </c:pt>
                <c:pt idx="7">
                  <c:v>5486</c:v>
                </c:pt>
                <c:pt idx="8">
                  <c:v>5451</c:v>
                </c:pt>
                <c:pt idx="9">
                  <c:v>5668</c:v>
                </c:pt>
                <c:pt idx="10">
                  <c:v>5429</c:v>
                </c:pt>
                <c:pt idx="11">
                  <c:v>6599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44-465C-95F6-D37B025C5A0A}"/>
            </c:ext>
          </c:extLst>
        </c:ser>
        <c:ser>
          <c:idx val="12"/>
          <c:order val="12"/>
          <c:tx>
            <c:v>2025/26</c:v>
          </c:tx>
          <c:spPr>
            <a:ln w="28575" cap="rnd">
              <a:solidFill>
                <a:schemeClr val="dk1">
                  <a:tint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responses'!$A$2:$A$13</c:f>
              <c:strCache>
                <c:ptCount val="12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</c:strCache>
            </c:strRef>
          </c:cat>
          <c:val>
            <c:numRef>
              <c:f>'total responses'!$O$2:$O$13</c:f>
              <c:numCache>
                <c:formatCode>General</c:formatCode>
                <c:ptCount val="12"/>
                <c:pt idx="0">
                  <c:v>6273</c:v>
                </c:pt>
                <c:pt idx="1">
                  <c:v>12297</c:v>
                </c:pt>
                <c:pt idx="2">
                  <c:v>16541</c:v>
                </c:pt>
                <c:pt idx="3">
                  <c:v>24622</c:v>
                </c:pt>
                <c:pt idx="4">
                  <c:v>30610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BA-4912-B2AC-24AF4883B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6568543"/>
        <c:axId val="1256568959"/>
      </c:lineChart>
      <c:catAx>
        <c:axId val="12565685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568959"/>
        <c:crosses val="autoZero"/>
        <c:auto val="1"/>
        <c:lblAlgn val="ctr"/>
        <c:lblOffset val="100"/>
        <c:noMultiLvlLbl val="0"/>
      </c:catAx>
      <c:valAx>
        <c:axId val="12565689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responses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568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221773931151171"/>
          <c:y val="0.8115053265400648"/>
          <c:w val="0.85860935771458324"/>
          <c:h val="0.159368546085024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28575</xdr:rowOff>
    </xdr:from>
    <xdr:to>
      <xdr:col>11</xdr:col>
      <xdr:colOff>581025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51C2BE-393E-461C-AE51-031833788A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28</xdr:row>
      <xdr:rowOff>0</xdr:rowOff>
    </xdr:from>
    <xdr:to>
      <xdr:col>11</xdr:col>
      <xdr:colOff>581025</xdr:colOff>
      <xdr:row>53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60C5F5-D930-40CD-BE5B-D7F6A44BEA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247650</xdr:colOff>
      <xdr:row>9</xdr:row>
      <xdr:rowOff>9525</xdr:rowOff>
    </xdr:from>
    <xdr:to>
      <xdr:col>23</xdr:col>
      <xdr:colOff>590550</xdr:colOff>
      <xdr:row>26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484BF-9B7A-45F1-8653-ED180E84B81B}">
  <dimension ref="A1"/>
  <sheetViews>
    <sheetView tabSelected="1" topLeftCell="A16" workbookViewId="0">
      <selection activeCell="N35" sqref="N35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3"/>
  <sheetViews>
    <sheetView workbookViewId="0">
      <selection activeCell="B1" sqref="B1:O1048576"/>
    </sheetView>
  </sheetViews>
  <sheetFormatPr defaultRowHeight="14.5" x14ac:dyDescent="0.35"/>
  <sheetData>
    <row r="1" spans="1:15" x14ac:dyDescent="0.35">
      <c r="A1" t="s">
        <v>0</v>
      </c>
      <c r="B1" t="s">
        <v>16</v>
      </c>
      <c r="C1" t="s">
        <v>13</v>
      </c>
      <c r="D1" t="s">
        <v>14</v>
      </c>
      <c r="E1" t="s">
        <v>15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34</v>
      </c>
      <c r="M1" t="s">
        <v>35</v>
      </c>
      <c r="N1" t="s">
        <v>36</v>
      </c>
      <c r="O1" t="s">
        <v>38</v>
      </c>
    </row>
    <row r="2" spans="1:15" x14ac:dyDescent="0.35">
      <c r="A2" t="s">
        <v>5</v>
      </c>
      <c r="C2">
        <v>3328</v>
      </c>
      <c r="D2">
        <v>3611</v>
      </c>
      <c r="E2">
        <v>5659</v>
      </c>
      <c r="F2" s="1">
        <v>4840</v>
      </c>
      <c r="G2">
        <v>4614</v>
      </c>
      <c r="H2">
        <v>6860</v>
      </c>
      <c r="I2">
        <v>6565</v>
      </c>
      <c r="J2">
        <v>7986</v>
      </c>
      <c r="K2">
        <v>11243</v>
      </c>
      <c r="L2">
        <v>11143</v>
      </c>
      <c r="M2">
        <v>10786</v>
      </c>
      <c r="N2">
        <v>11408</v>
      </c>
      <c r="O2">
        <v>13197</v>
      </c>
    </row>
    <row r="3" spans="1:15" x14ac:dyDescent="0.35">
      <c r="A3" t="s">
        <v>1</v>
      </c>
      <c r="C3">
        <v>5506</v>
      </c>
      <c r="D3">
        <v>4616</v>
      </c>
      <c r="E3">
        <v>9468</v>
      </c>
      <c r="F3" s="1">
        <v>9295</v>
      </c>
      <c r="G3">
        <v>9939</v>
      </c>
      <c r="H3">
        <v>11009</v>
      </c>
      <c r="I3">
        <v>9568</v>
      </c>
      <c r="J3">
        <v>18967</v>
      </c>
      <c r="K3">
        <v>21265</v>
      </c>
      <c r="L3">
        <v>23886</v>
      </c>
      <c r="M3">
        <v>26536</v>
      </c>
      <c r="N3">
        <v>25221</v>
      </c>
      <c r="O3">
        <v>26462</v>
      </c>
    </row>
    <row r="4" spans="1:15" x14ac:dyDescent="0.35">
      <c r="A4" t="s">
        <v>6</v>
      </c>
      <c r="C4">
        <v>5279</v>
      </c>
      <c r="D4">
        <v>8498</v>
      </c>
      <c r="E4">
        <v>10182</v>
      </c>
      <c r="F4" s="1">
        <f>5001+5316</f>
        <v>10317</v>
      </c>
      <c r="G4">
        <f>5000+5618</f>
        <v>10618</v>
      </c>
      <c r="H4">
        <v>14536</v>
      </c>
      <c r="I4">
        <v>12717</v>
      </c>
      <c r="J4">
        <v>28927</v>
      </c>
      <c r="K4">
        <v>29330</v>
      </c>
      <c r="L4">
        <v>38501</v>
      </c>
      <c r="M4">
        <v>39120</v>
      </c>
      <c r="N4">
        <v>42564</v>
      </c>
      <c r="O4">
        <v>40307</v>
      </c>
    </row>
    <row r="5" spans="1:15" x14ac:dyDescent="0.35">
      <c r="A5" t="s">
        <v>7</v>
      </c>
      <c r="B5">
        <v>3067</v>
      </c>
      <c r="C5">
        <v>7926</v>
      </c>
      <c r="D5">
        <v>14768</v>
      </c>
      <c r="E5">
        <v>15437</v>
      </c>
      <c r="F5" s="1">
        <f>6000+9911</f>
        <v>15911</v>
      </c>
      <c r="G5">
        <v>16023</v>
      </c>
      <c r="H5">
        <v>19241</v>
      </c>
      <c r="I5">
        <v>17272</v>
      </c>
      <c r="J5">
        <v>27059</v>
      </c>
      <c r="K5">
        <v>32549</v>
      </c>
      <c r="L5">
        <v>43928</v>
      </c>
      <c r="M5">
        <v>46500</v>
      </c>
      <c r="N5">
        <v>47275</v>
      </c>
      <c r="O5">
        <v>56499</v>
      </c>
    </row>
    <row r="6" spans="1:15" x14ac:dyDescent="0.35">
      <c r="A6" t="s">
        <v>8</v>
      </c>
      <c r="B6">
        <v>5689</v>
      </c>
      <c r="C6">
        <v>8354</v>
      </c>
      <c r="D6">
        <v>16928</v>
      </c>
      <c r="E6">
        <v>12574</v>
      </c>
      <c r="F6" s="1">
        <v>15822</v>
      </c>
      <c r="G6">
        <v>16651</v>
      </c>
      <c r="H6">
        <v>22744</v>
      </c>
      <c r="I6">
        <v>22248</v>
      </c>
      <c r="J6">
        <v>39152</v>
      </c>
      <c r="K6">
        <v>47514</v>
      </c>
      <c r="L6">
        <v>58003</v>
      </c>
      <c r="M6">
        <v>61899</v>
      </c>
      <c r="N6">
        <v>63530</v>
      </c>
      <c r="O6">
        <v>71626</v>
      </c>
    </row>
    <row r="7" spans="1:15" x14ac:dyDescent="0.35">
      <c r="A7" t="s">
        <v>9</v>
      </c>
      <c r="B7">
        <v>3190</v>
      </c>
      <c r="C7">
        <v>5493</v>
      </c>
      <c r="D7">
        <v>6612</v>
      </c>
      <c r="E7">
        <v>6992</v>
      </c>
      <c r="F7" s="1">
        <v>9331</v>
      </c>
      <c r="G7">
        <v>9818</v>
      </c>
      <c r="H7">
        <v>13695</v>
      </c>
      <c r="I7">
        <v>13259</v>
      </c>
      <c r="J7">
        <v>26137</v>
      </c>
      <c r="K7">
        <v>29730</v>
      </c>
      <c r="L7">
        <v>34907</v>
      </c>
      <c r="M7">
        <v>37813</v>
      </c>
      <c r="N7">
        <v>36472</v>
      </c>
    </row>
    <row r="8" spans="1:15" x14ac:dyDescent="0.35">
      <c r="A8" t="s">
        <v>10</v>
      </c>
      <c r="B8">
        <v>2388</v>
      </c>
      <c r="C8">
        <v>4485</v>
      </c>
      <c r="D8">
        <v>4949</v>
      </c>
      <c r="E8">
        <v>6946</v>
      </c>
      <c r="F8" s="3">
        <v>6845</v>
      </c>
      <c r="G8">
        <v>7024</v>
      </c>
      <c r="H8">
        <v>9838</v>
      </c>
      <c r="I8">
        <v>9290</v>
      </c>
      <c r="J8">
        <v>14573</v>
      </c>
      <c r="K8">
        <v>15537</v>
      </c>
      <c r="L8">
        <v>19321</v>
      </c>
      <c r="M8">
        <v>18557</v>
      </c>
      <c r="N8">
        <v>18344</v>
      </c>
    </row>
    <row r="9" spans="1:15" x14ac:dyDescent="0.35">
      <c r="A9" t="s">
        <v>11</v>
      </c>
      <c r="B9">
        <v>2100</v>
      </c>
      <c r="C9">
        <v>3137</v>
      </c>
      <c r="D9">
        <v>4264</v>
      </c>
      <c r="E9">
        <v>6194</v>
      </c>
      <c r="F9" s="3">
        <v>6290</v>
      </c>
      <c r="G9">
        <v>6197</v>
      </c>
      <c r="H9">
        <v>9376</v>
      </c>
      <c r="I9">
        <v>8775</v>
      </c>
      <c r="J9">
        <v>10945</v>
      </c>
      <c r="K9">
        <v>11458</v>
      </c>
      <c r="L9">
        <v>12511</v>
      </c>
      <c r="M9">
        <v>13269</v>
      </c>
      <c r="N9">
        <v>12953</v>
      </c>
    </row>
    <row r="10" spans="1:15" x14ac:dyDescent="0.35">
      <c r="A10" t="s">
        <v>12</v>
      </c>
      <c r="B10">
        <v>2065</v>
      </c>
      <c r="C10">
        <v>3104</v>
      </c>
      <c r="D10">
        <v>4198</v>
      </c>
      <c r="E10">
        <v>6178</v>
      </c>
      <c r="F10" s="3">
        <v>6175</v>
      </c>
      <c r="G10">
        <v>6186</v>
      </c>
      <c r="H10">
        <v>9175</v>
      </c>
      <c r="I10">
        <v>8745</v>
      </c>
      <c r="J10">
        <v>10589</v>
      </c>
      <c r="K10">
        <v>10927</v>
      </c>
      <c r="L10">
        <v>11818</v>
      </c>
      <c r="M10">
        <v>13180</v>
      </c>
      <c r="N10">
        <v>12682</v>
      </c>
    </row>
    <row r="11" spans="1:15" x14ac:dyDescent="0.35">
      <c r="A11" t="s">
        <v>2</v>
      </c>
      <c r="B11">
        <v>2053</v>
      </c>
      <c r="C11">
        <v>3088</v>
      </c>
      <c r="D11">
        <v>8156</v>
      </c>
      <c r="E11" s="1">
        <v>6159</v>
      </c>
      <c r="F11">
        <v>6154</v>
      </c>
      <c r="G11">
        <v>6121</v>
      </c>
      <c r="H11">
        <v>9102</v>
      </c>
      <c r="I11">
        <v>8898</v>
      </c>
      <c r="J11">
        <v>10443</v>
      </c>
      <c r="K11">
        <v>11526</v>
      </c>
      <c r="L11">
        <v>12465</v>
      </c>
      <c r="M11">
        <v>12789</v>
      </c>
      <c r="N11" s="10">
        <v>13180</v>
      </c>
    </row>
    <row r="12" spans="1:15" x14ac:dyDescent="0.35">
      <c r="A12" t="s">
        <v>3</v>
      </c>
      <c r="B12">
        <v>2098</v>
      </c>
      <c r="C12">
        <v>3111</v>
      </c>
      <c r="D12">
        <v>8385</v>
      </c>
      <c r="E12" s="1">
        <v>6353</v>
      </c>
      <c r="F12">
        <v>6250</v>
      </c>
      <c r="G12">
        <v>6200</v>
      </c>
      <c r="H12">
        <v>9224</v>
      </c>
      <c r="I12">
        <v>8726</v>
      </c>
      <c r="J12">
        <v>10726</v>
      </c>
      <c r="K12">
        <v>12279</v>
      </c>
      <c r="L12">
        <v>12593</v>
      </c>
      <c r="M12">
        <v>14127</v>
      </c>
      <c r="N12">
        <v>12598</v>
      </c>
    </row>
    <row r="13" spans="1:15" x14ac:dyDescent="0.35">
      <c r="A13" t="s">
        <v>4</v>
      </c>
      <c r="B13">
        <v>2328</v>
      </c>
      <c r="C13">
        <v>3254</v>
      </c>
      <c r="D13">
        <v>8699</v>
      </c>
      <c r="E13" s="1">
        <v>6796</v>
      </c>
      <c r="F13">
        <v>6450</v>
      </c>
      <c r="G13">
        <v>6630</v>
      </c>
      <c r="H13">
        <v>9924</v>
      </c>
      <c r="I13">
        <v>9266</v>
      </c>
      <c r="J13">
        <v>12256</v>
      </c>
      <c r="K13">
        <v>13351</v>
      </c>
      <c r="L13">
        <v>14855</v>
      </c>
      <c r="M13">
        <v>16824</v>
      </c>
      <c r="N13">
        <v>15145</v>
      </c>
    </row>
  </sheetData>
  <pageMargins left="0.7" right="0.7" top="0.75" bottom="0.75" header="0.3" footer="0.3"/>
  <pageSetup orientation="portrait" r:id="rId1"/>
  <headerFooter>
    <oddHeader>&amp;R&amp;"Calibri"&amp;12&amp;K000000 Unclassified - Non-Classifié&amp;1#_x000D_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30047-C52B-4371-9569-AA6714DABEE1}">
  <dimension ref="A1:O42"/>
  <sheetViews>
    <sheetView workbookViewId="0">
      <selection activeCell="D17" sqref="D17"/>
    </sheetView>
  </sheetViews>
  <sheetFormatPr defaultRowHeight="14.5" x14ac:dyDescent="0.35"/>
  <sheetData>
    <row r="1" spans="1:15" x14ac:dyDescent="0.35">
      <c r="A1" t="s">
        <v>37</v>
      </c>
      <c r="C1" t="s">
        <v>13</v>
      </c>
      <c r="D1" t="s">
        <v>14</v>
      </c>
      <c r="E1" t="s">
        <v>15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34</v>
      </c>
      <c r="M1" t="s">
        <v>35</v>
      </c>
      <c r="N1" t="s">
        <v>36</v>
      </c>
      <c r="O1" t="s">
        <v>38</v>
      </c>
    </row>
    <row r="2" spans="1:15" x14ac:dyDescent="0.35">
      <c r="A2" t="s">
        <v>23</v>
      </c>
      <c r="C2">
        <v>1130</v>
      </c>
      <c r="D2">
        <v>1264</v>
      </c>
      <c r="E2">
        <v>1876</v>
      </c>
      <c r="F2">
        <v>1817</v>
      </c>
      <c r="G2">
        <v>1619</v>
      </c>
      <c r="H2">
        <v>2073</v>
      </c>
      <c r="I2">
        <v>2499</v>
      </c>
      <c r="J2">
        <v>4034</v>
      </c>
      <c r="K2">
        <v>5347</v>
      </c>
      <c r="L2">
        <v>5864</v>
      </c>
      <c r="M2">
        <v>5536</v>
      </c>
      <c r="N2">
        <v>5492</v>
      </c>
      <c r="O2">
        <v>6273</v>
      </c>
    </row>
    <row r="3" spans="1:15" x14ac:dyDescent="0.35">
      <c r="A3" t="s">
        <v>1</v>
      </c>
      <c r="C3">
        <v>1734</v>
      </c>
      <c r="D3">
        <v>1346</v>
      </c>
      <c r="E3">
        <v>2779</v>
      </c>
      <c r="F3">
        <v>3432</v>
      </c>
      <c r="G3">
        <v>3387</v>
      </c>
      <c r="H3">
        <v>3092</v>
      </c>
      <c r="I3">
        <v>3278</v>
      </c>
      <c r="J3">
        <v>9313</v>
      </c>
      <c r="K3">
        <v>9872</v>
      </c>
      <c r="L3">
        <v>11791</v>
      </c>
      <c r="M3">
        <v>13184</v>
      </c>
      <c r="N3">
        <v>12019</v>
      </c>
      <c r="O3">
        <v>12297</v>
      </c>
    </row>
    <row r="4" spans="1:15" x14ac:dyDescent="0.35">
      <c r="A4" t="s">
        <v>24</v>
      </c>
      <c r="C4">
        <v>1600</v>
      </c>
      <c r="D4">
        <v>2437</v>
      </c>
      <c r="E4">
        <v>2668</v>
      </c>
      <c r="F4">
        <v>3846</v>
      </c>
      <c r="G4">
        <v>3117</v>
      </c>
      <c r="H4">
        <v>3080</v>
      </c>
      <c r="I4">
        <v>3791</v>
      </c>
      <c r="J4">
        <v>13536</v>
      </c>
      <c r="K4">
        <v>13161</v>
      </c>
      <c r="L4">
        <v>19544</v>
      </c>
      <c r="M4">
        <v>18770</v>
      </c>
      <c r="N4">
        <v>18147</v>
      </c>
      <c r="O4">
        <v>16541</v>
      </c>
    </row>
    <row r="5" spans="1:15" x14ac:dyDescent="0.35">
      <c r="A5" t="s">
        <v>25</v>
      </c>
      <c r="B5">
        <v>928</v>
      </c>
      <c r="C5">
        <v>2236</v>
      </c>
      <c r="D5">
        <v>4111</v>
      </c>
      <c r="E5">
        <v>3298</v>
      </c>
      <c r="F5">
        <v>4613</v>
      </c>
      <c r="G5">
        <v>4117</v>
      </c>
      <c r="H5">
        <v>4438</v>
      </c>
      <c r="I5">
        <v>4889</v>
      </c>
      <c r="J5">
        <v>11441</v>
      </c>
      <c r="K5">
        <v>13921</v>
      </c>
      <c r="L5">
        <v>21728</v>
      </c>
      <c r="M5">
        <v>21322</v>
      </c>
      <c r="N5">
        <v>19223</v>
      </c>
      <c r="O5">
        <v>24622</v>
      </c>
    </row>
    <row r="6" spans="1:15" x14ac:dyDescent="0.35">
      <c r="A6" t="s">
        <v>26</v>
      </c>
      <c r="B6">
        <v>1268</v>
      </c>
      <c r="C6">
        <v>2278</v>
      </c>
      <c r="D6">
        <v>4832</v>
      </c>
      <c r="E6">
        <v>3359</v>
      </c>
      <c r="F6">
        <v>4337</v>
      </c>
      <c r="G6">
        <v>3869</v>
      </c>
      <c r="H6">
        <v>5207</v>
      </c>
      <c r="I6">
        <v>5150</v>
      </c>
      <c r="J6">
        <v>17013</v>
      </c>
      <c r="K6">
        <v>20722</v>
      </c>
      <c r="L6">
        <v>28202</v>
      </c>
      <c r="M6">
        <v>28107</v>
      </c>
      <c r="N6">
        <v>25475</v>
      </c>
      <c r="O6">
        <v>30610</v>
      </c>
    </row>
    <row r="7" spans="1:15" x14ac:dyDescent="0.35">
      <c r="A7" t="s">
        <v>27</v>
      </c>
      <c r="B7">
        <v>650</v>
      </c>
      <c r="C7">
        <v>1550</v>
      </c>
      <c r="D7">
        <v>2126</v>
      </c>
      <c r="E7">
        <v>2244</v>
      </c>
      <c r="F7">
        <v>3051</v>
      </c>
      <c r="G7">
        <v>2598</v>
      </c>
      <c r="H7">
        <v>3420</v>
      </c>
      <c r="I7">
        <v>3078</v>
      </c>
      <c r="J7">
        <v>10645</v>
      </c>
      <c r="K7">
        <v>13064</v>
      </c>
      <c r="L7">
        <v>17241</v>
      </c>
      <c r="M7">
        <v>17034</v>
      </c>
      <c r="N7">
        <v>14493</v>
      </c>
    </row>
    <row r="8" spans="1:15" x14ac:dyDescent="0.35">
      <c r="A8" t="s">
        <v>28</v>
      </c>
      <c r="B8">
        <v>701</v>
      </c>
      <c r="C8">
        <v>1476</v>
      </c>
      <c r="D8">
        <v>1434</v>
      </c>
      <c r="E8">
        <v>2404</v>
      </c>
      <c r="F8">
        <v>2337</v>
      </c>
      <c r="G8">
        <v>2291</v>
      </c>
      <c r="H8">
        <v>2632</v>
      </c>
      <c r="I8">
        <v>3078</v>
      </c>
      <c r="J8">
        <v>6448</v>
      </c>
      <c r="K8">
        <v>6594</v>
      </c>
      <c r="L8">
        <v>9778</v>
      </c>
      <c r="M8">
        <v>8767</v>
      </c>
      <c r="N8">
        <v>7529</v>
      </c>
    </row>
    <row r="9" spans="1:15" x14ac:dyDescent="0.35">
      <c r="A9" t="s">
        <v>29</v>
      </c>
      <c r="B9">
        <v>602</v>
      </c>
      <c r="C9">
        <v>1010</v>
      </c>
      <c r="D9">
        <v>1378</v>
      </c>
      <c r="E9">
        <v>2326</v>
      </c>
      <c r="F9">
        <v>2305</v>
      </c>
      <c r="G9">
        <v>2210</v>
      </c>
      <c r="H9">
        <v>2480</v>
      </c>
      <c r="I9">
        <v>2151</v>
      </c>
      <c r="J9">
        <v>4785</v>
      </c>
      <c r="K9">
        <v>4504</v>
      </c>
      <c r="L9">
        <v>6252</v>
      </c>
      <c r="M9">
        <v>6309</v>
      </c>
      <c r="N9">
        <v>5486</v>
      </c>
    </row>
    <row r="10" spans="1:15" x14ac:dyDescent="0.35">
      <c r="A10" t="s">
        <v>30</v>
      </c>
      <c r="B10">
        <v>637</v>
      </c>
      <c r="C10">
        <v>1045</v>
      </c>
      <c r="D10">
        <v>1450</v>
      </c>
      <c r="E10">
        <v>2411</v>
      </c>
      <c r="F10">
        <v>2297</v>
      </c>
      <c r="G10">
        <v>2221</v>
      </c>
      <c r="H10">
        <v>2321</v>
      </c>
      <c r="I10">
        <v>2258</v>
      </c>
      <c r="J10">
        <v>4887</v>
      </c>
      <c r="K10">
        <v>4517</v>
      </c>
      <c r="L10">
        <v>6015</v>
      </c>
      <c r="M10">
        <v>5982</v>
      </c>
      <c r="N10">
        <v>5451</v>
      </c>
    </row>
    <row r="11" spans="1:15" x14ac:dyDescent="0.35">
      <c r="A11" t="s">
        <v>31</v>
      </c>
      <c r="B11">
        <v>645</v>
      </c>
      <c r="C11">
        <v>1039</v>
      </c>
      <c r="D11">
        <v>2777</v>
      </c>
      <c r="E11">
        <v>2412</v>
      </c>
      <c r="F11">
        <v>2324</v>
      </c>
      <c r="G11">
        <v>2244</v>
      </c>
      <c r="H11">
        <v>2643</v>
      </c>
      <c r="I11">
        <v>1987</v>
      </c>
      <c r="J11">
        <v>4748</v>
      </c>
      <c r="K11">
        <v>3343</v>
      </c>
      <c r="L11">
        <v>6282</v>
      </c>
      <c r="M11" s="4">
        <v>5738</v>
      </c>
      <c r="N11" s="4">
        <v>5668</v>
      </c>
    </row>
    <row r="12" spans="1:15" x14ac:dyDescent="0.35">
      <c r="A12" t="s">
        <v>32</v>
      </c>
      <c r="B12">
        <v>630</v>
      </c>
      <c r="C12">
        <v>1012</v>
      </c>
      <c r="D12">
        <v>2836</v>
      </c>
      <c r="E12">
        <v>2420</v>
      </c>
      <c r="F12">
        <v>2268</v>
      </c>
      <c r="G12">
        <v>2210</v>
      </c>
      <c r="H12">
        <v>2705</v>
      </c>
      <c r="I12">
        <v>2498</v>
      </c>
      <c r="J12">
        <v>4829</v>
      </c>
      <c r="K12">
        <v>5074</v>
      </c>
      <c r="L12">
        <v>6383</v>
      </c>
      <c r="M12">
        <v>6616</v>
      </c>
      <c r="N12" s="4">
        <v>5429</v>
      </c>
    </row>
    <row r="13" spans="1:15" x14ac:dyDescent="0.35">
      <c r="A13" t="s">
        <v>33</v>
      </c>
      <c r="B13">
        <v>668</v>
      </c>
      <c r="C13">
        <v>1013</v>
      </c>
      <c r="D13">
        <v>2614</v>
      </c>
      <c r="E13">
        <v>2417</v>
      </c>
      <c r="F13">
        <v>2290</v>
      </c>
      <c r="G13">
        <v>2279</v>
      </c>
      <c r="H13">
        <v>2793</v>
      </c>
      <c r="I13">
        <v>3509</v>
      </c>
      <c r="J13">
        <v>5470</v>
      </c>
      <c r="K13">
        <v>5581</v>
      </c>
      <c r="L13">
        <v>7494</v>
      </c>
      <c r="M13">
        <v>8472</v>
      </c>
      <c r="N13" s="4">
        <v>6599</v>
      </c>
    </row>
    <row r="14" spans="1:15" x14ac:dyDescent="0.35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6" spans="1:15" x14ac:dyDescent="0.35">
      <c r="C16" s="2"/>
    </row>
    <row r="19" spans="1:7" x14ac:dyDescent="0.35">
      <c r="A19" s="9"/>
      <c r="B19" s="9"/>
    </row>
    <row r="20" spans="1:7" x14ac:dyDescent="0.35">
      <c r="C20" s="7"/>
      <c r="D20" s="6"/>
      <c r="E20" s="6"/>
      <c r="F20" s="6"/>
      <c r="G20" s="6"/>
    </row>
    <row r="21" spans="1:7" x14ac:dyDescent="0.35">
      <c r="C21" s="7"/>
      <c r="D21" s="6"/>
      <c r="E21" s="6"/>
      <c r="F21" s="6"/>
      <c r="G21" s="6"/>
    </row>
    <row r="22" spans="1:7" x14ac:dyDescent="0.35">
      <c r="C22" s="7"/>
      <c r="D22" s="6"/>
      <c r="E22" s="6"/>
      <c r="F22" s="6"/>
      <c r="G22" s="6"/>
    </row>
    <row r="23" spans="1:7" x14ac:dyDescent="0.35">
      <c r="C23" s="7"/>
      <c r="D23" s="6"/>
      <c r="E23" s="6"/>
      <c r="F23" s="6"/>
      <c r="G23" s="6"/>
    </row>
    <row r="24" spans="1:7" x14ac:dyDescent="0.35">
      <c r="C24" s="7"/>
      <c r="D24" s="6"/>
      <c r="E24" s="6"/>
      <c r="F24" s="6"/>
      <c r="G24" s="6"/>
    </row>
    <row r="25" spans="1:7" x14ac:dyDescent="0.35">
      <c r="C25" s="7"/>
      <c r="D25" s="6"/>
      <c r="E25" s="6"/>
      <c r="F25" s="6"/>
      <c r="G25" s="6"/>
    </row>
    <row r="26" spans="1:7" x14ac:dyDescent="0.35">
      <c r="C26" s="7"/>
      <c r="D26" s="6"/>
      <c r="E26" s="6"/>
      <c r="F26" s="6"/>
      <c r="G26" s="6"/>
    </row>
    <row r="27" spans="1:7" x14ac:dyDescent="0.35">
      <c r="C27" s="7"/>
      <c r="D27" s="6"/>
      <c r="E27" s="6"/>
      <c r="F27" s="6"/>
      <c r="G27" s="6"/>
    </row>
    <row r="28" spans="1:7" x14ac:dyDescent="0.35">
      <c r="C28" s="7"/>
      <c r="D28" s="6"/>
      <c r="E28" s="6"/>
      <c r="F28" s="6"/>
      <c r="G28" s="6"/>
    </row>
    <row r="29" spans="1:7" x14ac:dyDescent="0.35">
      <c r="C29" s="7"/>
      <c r="D29" s="6"/>
      <c r="E29" s="6"/>
      <c r="F29" s="6"/>
      <c r="G29" s="6"/>
    </row>
    <row r="30" spans="1:7" x14ac:dyDescent="0.35">
      <c r="C30" s="7"/>
      <c r="D30" s="6"/>
      <c r="E30" s="6"/>
      <c r="F30" s="6"/>
      <c r="G30" s="6"/>
    </row>
    <row r="31" spans="1:7" x14ac:dyDescent="0.35">
      <c r="C31" s="7"/>
      <c r="D31" s="6"/>
      <c r="E31" s="6"/>
      <c r="F31" s="6"/>
      <c r="G31" s="6"/>
    </row>
    <row r="36" spans="4:5" x14ac:dyDescent="0.35">
      <c r="D36" s="8"/>
      <c r="E36" s="5"/>
    </row>
    <row r="37" spans="4:5" x14ac:dyDescent="0.35">
      <c r="D37" s="8"/>
      <c r="E37" s="5"/>
    </row>
    <row r="38" spans="4:5" x14ac:dyDescent="0.35">
      <c r="D38" s="8"/>
      <c r="E38" s="5"/>
    </row>
    <row r="39" spans="4:5" x14ac:dyDescent="0.35">
      <c r="D39" s="8"/>
      <c r="E39" s="5"/>
    </row>
    <row r="40" spans="4:5" x14ac:dyDescent="0.35">
      <c r="D40" s="8"/>
      <c r="E40" s="5"/>
    </row>
    <row r="41" spans="4:5" x14ac:dyDescent="0.35">
      <c r="D41" s="8"/>
      <c r="E41" s="5"/>
    </row>
    <row r="42" spans="4:5" x14ac:dyDescent="0.35">
      <c r="D42" s="8"/>
      <c r="E42" s="5"/>
    </row>
  </sheetData>
  <autoFilter ref="A1:O14" xr:uid="{4B330047-C52B-4371-9569-AA6714DABEE1}"/>
  <phoneticPr fontId="2" type="noConversion"/>
  <pageMargins left="0.7" right="0.7" top="0.75" bottom="0.75" header="0.3" footer="0.3"/>
  <pageSetup orientation="portrait" r:id="rId1"/>
  <headerFooter>
    <oddHeader>&amp;R&amp;"Calibri"&amp;12&amp;K000000 Unclassified - Non-Classifié&amp;1#_x000D_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Graphs</vt:lpstr>
      <vt:lpstr>invitees</vt:lpstr>
      <vt:lpstr>total responses</vt:lpstr>
    </vt:vector>
  </TitlesOfParts>
  <Company>dfo-mpo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DFO-MPO</dc:creator>
  <cp:lastModifiedBy>Houtman, Rob (DFO/MPO)</cp:lastModifiedBy>
  <cp:lastPrinted>2020-01-23T17:35:31Z</cp:lastPrinted>
  <dcterms:created xsi:type="dcterms:W3CDTF">2014-01-24T18:31:14Z</dcterms:created>
  <dcterms:modified xsi:type="dcterms:W3CDTF">2025-10-22T21:07:34Z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2025-08-01T16:59:37Z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d9ed5a3b-cee9-469d-a73a-9e3b60d7a59a</vt:lpwstr>
  </property>
  <property fmtid="{D5CDD505-2E9C-101B-9397-08002B2CF9AE}" pid="8" name="MSIP_Label_4e6cdb53-fd15-486d-84de-c510e3a62203_ContentBits">
    <vt:lpwstr>1</vt:lpwstr>
  </property>
</Properties>
</file>